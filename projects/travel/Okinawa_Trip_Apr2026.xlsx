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單" sheetId="1" state="visible" r:id="rId1"/>
    <sheet xmlns:r="http://schemas.openxmlformats.org/officeDocument/2006/relationships" name="行程表" sheetId="2" state="visible" r:id="rId2"/>
    <sheet xmlns:r="http://schemas.openxmlformats.org/officeDocument/2006/relationships" name="攻略" sheetId="3" state="visible" r:id="rId3"/>
    <sheet xmlns:r="http://schemas.openxmlformats.org/officeDocument/2006/relationships" name="預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888888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color rgb="004CAF50"/>
      <sz val="10"/>
    </font>
    <font>
      <name val="Arial"/>
      <color rgb="00E53935"/>
      <sz val="10"/>
    </font>
    <font>
      <name val="Arial"/>
      <b val="1"/>
      <color rgb="00E53935"/>
      <sz val="11"/>
    </font>
    <font>
      <name val="Arial"/>
      <b val="1"/>
      <color rgb="00FF6F00"/>
      <sz val="10"/>
    </font>
    <font>
      <b val="1"/>
      <color rgb="00FFFFFF"/>
      <sz val="11"/>
    </font>
    <font>
      <b val="1"/>
    </font>
    <font>
      <b val="1"/>
      <color rgb="000000FF"/>
    </font>
    <font>
      <i val="1"/>
      <color rgb="00888888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BF5FB"/>
      </patternFill>
    </fill>
    <fill>
      <patternFill patternType="solid">
        <fgColor rgb="00FDEDEC"/>
      </patternFill>
    </fill>
    <fill>
      <patternFill patternType="solid">
        <fgColor rgb="002E86AB"/>
      </patternFill>
    </fill>
    <fill>
      <patternFill patternType="solid">
        <fgColor rgb="00D6EAF8"/>
      </patternFill>
    </fill>
    <fill>
      <patternFill patternType="solid">
        <fgColor rgb="00F9E79F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pivotButton="0" quotePrefix="0" xfId="0"/>
    <xf numFmtId="0" fontId="6" fillId="4" borderId="1" applyAlignment="1" pivotButton="0" quotePrefix="0" xfId="0">
      <alignment horizontal="center"/>
    </xf>
    <xf numFmtId="0" fontId="2" fillId="0" borderId="1" pivotButton="0" quotePrefix="0" xfId="0"/>
    <xf numFmtId="0" fontId="7" fillId="5" borderId="1" applyAlignment="1" pivotButton="0" quotePrefix="0" xfId="0">
      <alignment horizontal="center"/>
    </xf>
    <xf numFmtId="0" fontId="4" fillId="0" borderId="0" pivotButton="0" quotePrefix="0" xfId="0"/>
    <xf numFmtId="0" fontId="8" fillId="0" borderId="0" pivotButton="0" quotePrefix="0" xfId="0"/>
    <xf numFmtId="0" fontId="4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0" fillId="7" borderId="6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0" fillId="8" borderId="6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0" fillId="9" borderId="6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  <xf numFmtId="0" fontId="10" fillId="11" borderId="0" applyAlignment="1" pivotButton="0" quotePrefix="0" xfId="0">
      <alignment horizont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1" fillId="12" borderId="6" pivotButton="0" quotePrefix="0" xfId="0"/>
    <xf numFmtId="0" fontId="0" fillId="0" borderId="6" applyAlignment="1" pivotButton="0" quotePrefix="0" xfId="0">
      <alignment vertical="center" wrapText="1"/>
    </xf>
    <xf numFmtId="0" fontId="14" fillId="13" borderId="6" pivotButton="0" quotePrefix="0" xfId="0"/>
    <xf numFmtId="0" fontId="0" fillId="13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4" customWidth="1" min="3" max="3"/>
    <col width="28" customWidth="1" min="4" max="4"/>
  </cols>
  <sheetData>
    <row r="1">
      <c r="A1" s="1" t="inlineStr">
        <is>
          <t>沖繩之旅  4月12-16日  HKG→OKA</t>
        </is>
      </c>
    </row>
    <row r="2">
      <c r="A2" s="2" t="inlineStr">
        <is>
          <t>UO 824（去） / UO 825（回）  |  4晚5天  |  HK Express</t>
        </is>
      </c>
    </row>
    <row r="4">
      <c r="A4" s="3" t="inlineStr">
        <is>
          <t>項目</t>
        </is>
      </c>
      <c r="B4" s="3" t="inlineStr">
        <is>
          <t>詳情</t>
        </is>
      </c>
      <c r="C4" s="3" t="inlineStr">
        <is>
          <t>狀態</t>
        </is>
      </c>
      <c r="D4" s="3" t="inlineStr">
        <is>
          <t>備註</t>
        </is>
      </c>
    </row>
    <row r="5">
      <c r="A5" s="4" t="inlineStr">
        <is>
          <t>✈️ 機票</t>
        </is>
      </c>
      <c r="B5" s="5" t="n"/>
      <c r="C5" s="5" t="n"/>
      <c r="D5" s="6" t="n"/>
    </row>
    <row r="6">
      <c r="A6" s="7" t="inlineStr">
        <is>
          <t>去程 UO 824</t>
        </is>
      </c>
      <c r="B6" s="7" t="inlineStr">
        <is>
          <t>HKG → OKA  4月12日（日）</t>
        </is>
      </c>
      <c r="C6" s="8" t="inlineStr">
        <is>
          <t>✅ 已預訂</t>
        </is>
      </c>
      <c r="D6" s="9" t="inlineStr">
        <is>
          <t>HK Express</t>
        </is>
      </c>
    </row>
    <row r="7">
      <c r="A7" s="7" t="inlineStr">
        <is>
          <t>回程 UO 825</t>
        </is>
      </c>
      <c r="B7" s="7" t="inlineStr">
        <is>
          <t>OKA → HKG  4月16日（四）</t>
        </is>
      </c>
      <c r="C7" s="8" t="inlineStr">
        <is>
          <t>✅ 已預訂</t>
        </is>
      </c>
      <c r="D7" s="9" t="inlineStr">
        <is>
          <t>HK Express</t>
        </is>
      </c>
    </row>
    <row r="8">
      <c r="A8" s="7" t="inlineStr">
        <is>
          <t>網上預辦登機</t>
        </is>
      </c>
      <c r="B8" s="7" t="inlineStr">
        <is>
          <t>出發前48小時</t>
        </is>
      </c>
      <c r="C8" s="10" t="inlineStr">
        <is>
          <t>⬜</t>
        </is>
      </c>
      <c r="D8" s="9" t="inlineStr">
        <is>
          <t>HK Express App</t>
        </is>
      </c>
    </row>
    <row r="9">
      <c r="A9" s="4" t="inlineStr">
        <is>
          <t>🏨 住宿</t>
        </is>
      </c>
      <c r="B9" s="5" t="n"/>
      <c r="C9" s="5" t="n"/>
      <c r="D9" s="6" t="n"/>
    </row>
    <row r="10">
      <c r="A10" s="7" t="inlineStr">
        <is>
          <t>酒店 4晚</t>
        </is>
      </c>
      <c r="B10" s="7" t="inlineStr">
        <is>
          <t>4月12-16日，國際通附近</t>
        </is>
      </c>
      <c r="C10" s="10" t="inlineStr">
        <is>
          <t>⬜</t>
        </is>
      </c>
      <c r="D10" s="9" t="inlineStr">
        <is>
          <t>預算約¥10,000/晚</t>
        </is>
      </c>
    </row>
    <row r="11">
      <c r="A11" s="4" t="inlineStr">
        <is>
          <t>🚗 租車 &amp; 駕照</t>
        </is>
      </c>
      <c r="B11" s="5" t="n"/>
      <c r="C11" s="5" t="n"/>
      <c r="D11" s="6" t="n"/>
    </row>
    <row r="12">
      <c r="A12" s="7" t="inlineStr">
        <is>
          <t>國際駕駛許可證 IDP</t>
        </is>
      </c>
      <c r="B12" s="7" t="inlineStr">
        <is>
          <t>運輸署，HK$80</t>
        </is>
      </c>
      <c r="C12" s="10" t="inlineStr">
        <is>
          <t>⬜</t>
        </is>
      </c>
      <c r="D12" s="9" t="inlineStr">
        <is>
          <t>即日取 或 網上10個工作天</t>
        </is>
      </c>
    </row>
    <row r="13">
      <c r="A13" s="7" t="inlineStr">
        <is>
          <t>租車預約（2天）</t>
        </is>
      </c>
      <c r="B13" s="7" t="inlineStr">
        <is>
          <t>OTS / Tabirai，4月14-15日</t>
        </is>
      </c>
      <c r="C13" s="10" t="inlineStr">
        <is>
          <t>⬜</t>
        </is>
      </c>
      <c r="D13" s="9" t="inlineStr">
        <is>
          <t>小型車連CDW+NOC</t>
        </is>
      </c>
    </row>
    <row r="14">
      <c r="A14" s="4" t="inlineStr">
        <is>
          <t>🎫 活動</t>
        </is>
      </c>
      <c r="B14" s="5" t="n"/>
      <c r="C14" s="5" t="n"/>
      <c r="D14" s="6" t="n"/>
    </row>
    <row r="15">
      <c r="A15" s="7" t="inlineStr">
        <is>
          <t>水族館門票</t>
        </is>
      </c>
      <c r="B15" s="7" t="inlineStr">
        <is>
          <t>到埗後FamilyMart買 ¥1,850</t>
        </is>
      </c>
      <c r="C15" s="10" t="inlineStr">
        <is>
          <t>⬜</t>
        </is>
      </c>
      <c r="D15" s="9" t="inlineStr">
        <is>
          <t>收銀機購買，只收現金</t>
        </is>
      </c>
    </row>
    <row r="16">
      <c r="A16" s="7" t="inlineStr">
        <is>
          <t>藍洞浮潛</t>
        </is>
      </c>
      <c r="B16" s="7" t="inlineStr">
        <is>
          <t>恩納村半日團 ¥4,000-6,000</t>
        </is>
      </c>
      <c r="C16" s="10" t="inlineStr">
        <is>
          <t>⬜</t>
        </is>
      </c>
      <c r="D16" s="9" t="inlineStr">
        <is>
          <t>裝備全包</t>
        </is>
      </c>
    </row>
    <row r="17">
      <c r="A17" s="4" t="inlineStr">
        <is>
          <t>📱 出發前</t>
        </is>
      </c>
      <c r="B17" s="5" t="n"/>
      <c r="C17" s="5" t="n"/>
      <c r="D17" s="6" t="n"/>
    </row>
    <row r="18">
      <c r="A18" s="7" t="inlineStr">
        <is>
          <t>購買 eSIM</t>
        </is>
      </c>
      <c r="B18" s="7" t="inlineStr">
        <is>
          <t>Airalo / Klook，~HK$30-80</t>
        </is>
      </c>
      <c r="C18" s="10" t="inlineStr">
        <is>
          <t>⬜</t>
        </is>
      </c>
      <c r="D18" s="9" t="inlineStr">
        <is>
          <t>落地即用</t>
        </is>
      </c>
    </row>
    <row r="19">
      <c r="A19" s="7" t="inlineStr">
        <is>
          <t>填寫 Visit Japan Web</t>
        </is>
      </c>
      <c r="B19" s="7" t="inlineStr">
        <is>
          <t>visit-japan-web.digital.go.jp</t>
        </is>
      </c>
      <c r="C19" s="10" t="inlineStr">
        <is>
          <t>⬜</t>
        </is>
      </c>
      <c r="D19" s="9" t="inlineStr">
        <is>
          <t>加快入境</t>
        </is>
      </c>
    </row>
    <row r="20">
      <c r="A20" s="7" t="inlineStr">
        <is>
          <t>下載離線 Google Maps</t>
        </is>
      </c>
      <c r="B20" s="7" t="inlineStr">
        <is>
          <t>沖繩地區</t>
        </is>
      </c>
      <c r="C20" s="10" t="inlineStr">
        <is>
          <t>⬜</t>
        </is>
      </c>
      <c r="D20" s="9" t="inlineStr"/>
    </row>
    <row r="21">
      <c r="A21" s="7" t="inlineStr">
        <is>
          <t>兌換日圓 / 帶信用卡</t>
        </is>
      </c>
      <c r="B21" s="7" t="inlineStr">
        <is>
          <t>或到埗 7-11 ATM</t>
        </is>
      </c>
      <c r="C21" s="10" t="inlineStr">
        <is>
          <t>⬜</t>
        </is>
      </c>
      <c r="D21" s="9" t="inlineStr"/>
    </row>
    <row r="22">
      <c r="A22" s="7" t="inlineStr">
        <is>
          <t>旅遊保險</t>
        </is>
      </c>
      <c r="B22" s="7" t="inlineStr"/>
      <c r="C22" s="10" t="inlineStr">
        <is>
          <t>⬜</t>
        </is>
      </c>
      <c r="D22" s="9" t="inlineStr"/>
    </row>
    <row r="23">
      <c r="A23" s="4" t="inlineStr">
        <is>
          <t>🧳 行李</t>
        </is>
      </c>
      <c r="B23" s="5" t="n"/>
      <c r="C23" s="5" t="n"/>
      <c r="D23" s="6" t="n"/>
    </row>
    <row r="24">
      <c r="A24" s="7" t="inlineStr">
        <is>
          <t>護照 + IDP + 香港駕照</t>
        </is>
      </c>
      <c r="B24" s="7" t="inlineStr">
        <is>
          <t>三樣缺一不可</t>
        </is>
      </c>
      <c r="C24" s="10" t="inlineStr">
        <is>
          <t>⬜</t>
        </is>
      </c>
      <c r="D24" s="9" t="inlineStr"/>
    </row>
    <row r="25">
      <c r="A25" s="7" t="inlineStr">
        <is>
          <t>泳衣 + 防曬 SPF50+</t>
        </is>
      </c>
      <c r="B25" s="7" t="inlineStr">
        <is>
          <t>浮潛必備</t>
        </is>
      </c>
      <c r="C25" s="10" t="inlineStr">
        <is>
          <t>⬜</t>
        </is>
      </c>
      <c r="D25" s="9" t="inlineStr"/>
    </row>
    <row r="26">
      <c r="A26" s="7" t="inlineStr">
        <is>
          <t>輕便外套 + 雨衣</t>
        </is>
      </c>
      <c r="B26" s="7" t="inlineStr">
        <is>
          <t>4月天氣多變</t>
        </is>
      </c>
      <c r="C26" s="10" t="inlineStr">
        <is>
          <t>⬜</t>
        </is>
      </c>
      <c r="D26" s="9" t="inlineStr"/>
    </row>
    <row r="27">
      <c r="A27" s="7" t="inlineStr">
        <is>
          <t>電源轉換器 A/B型</t>
        </is>
      </c>
      <c r="B27" s="7" t="inlineStr">
        <is>
          <t>日本插頭</t>
        </is>
      </c>
      <c r="C27" s="10" t="inlineStr">
        <is>
          <t>⬜</t>
        </is>
      </c>
      <c r="D27" s="9" t="inlineStr"/>
    </row>
    <row r="28">
      <c r="A28" s="7" t="inlineStr">
        <is>
          <t>手機充電器 + 相機</t>
        </is>
      </c>
      <c r="B28" s="7" t="inlineStr"/>
      <c r="C28" s="10" t="inlineStr">
        <is>
          <t>⬜</t>
        </is>
      </c>
      <c r="D28" s="9" t="inlineStr"/>
    </row>
    <row r="30">
      <c r="A30" s="11" t="inlineStr">
        <is>
          <t>進度</t>
        </is>
      </c>
      <c r="B30" s="12" t="inlineStr">
        <is>
          <t>2 / 19 項已完成</t>
        </is>
      </c>
    </row>
  </sheetData>
  <mergeCells count="7">
    <mergeCell ref="A1:D1"/>
    <mergeCell ref="A5:D5"/>
    <mergeCell ref="A9:D9"/>
    <mergeCell ref="A17:D17"/>
    <mergeCell ref="A23:D23"/>
    <mergeCell ref="A11:D1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32" customWidth="1" min="4" max="4"/>
    <col width="20" customWidth="1" min="5" max="5"/>
    <col width="40" customWidth="1" min="6" max="6"/>
  </cols>
  <sheetData>
    <row r="1">
      <c r="A1" s="3" t="inlineStr">
        <is>
          <t>日次</t>
        </is>
      </c>
      <c r="B1" s="3" t="inlineStr">
        <is>
          <t>日期</t>
        </is>
      </c>
      <c r="C1" s="3" t="inlineStr">
        <is>
          <t>時間</t>
        </is>
      </c>
      <c r="D1" s="3" t="inlineStr">
        <is>
          <t>活動</t>
        </is>
      </c>
      <c r="E1" s="3" t="inlineStr">
        <is>
          <t>地點</t>
        </is>
      </c>
      <c r="F1" s="3" t="inlineStr">
        <is>
          <t>備註</t>
        </is>
      </c>
    </row>
    <row r="2">
      <c r="A2" s="13" t="inlineStr">
        <is>
          <t>第1天</t>
        </is>
      </c>
      <c r="B2" s="13" t="inlineStr">
        <is>
          <t>4月12日（日）</t>
        </is>
      </c>
      <c r="C2" s="14" t="n"/>
      <c r="D2" s="14" t="n"/>
      <c r="E2" s="14" t="n"/>
      <c r="F2" s="14" t="n"/>
    </row>
    <row r="3">
      <c r="A3" s="15" t="n"/>
      <c r="B3" s="15" t="n"/>
      <c r="C3" s="16" t="inlineStr">
        <is>
          <t>晚上 7:30</t>
        </is>
      </c>
      <c r="D3" s="16" t="inlineStr">
        <is>
          <t>抵達那霸機場</t>
        </is>
      </c>
      <c r="E3" s="16" t="inlineStr">
        <is>
          <t>那霸機場</t>
        </is>
      </c>
      <c r="F3" s="17" t="inlineStr">
        <is>
          <t>詳見「抵達攻略」分頁</t>
        </is>
      </c>
    </row>
    <row r="4">
      <c r="A4" s="15" t="n"/>
      <c r="B4" s="15" t="n"/>
      <c r="C4" s="16" t="inlineStr">
        <is>
          <t>晚上 8:30</t>
        </is>
      </c>
      <c r="D4" s="16" t="inlineStr">
        <is>
          <t>單軌列車或的士到酒店</t>
        </is>
      </c>
      <c r="E4" s="16" t="inlineStr">
        <is>
          <t>那霸</t>
        </is>
      </c>
      <c r="F4" s="17" t="inlineStr">
        <is>
          <t>牧志站下車</t>
        </is>
      </c>
    </row>
    <row r="5">
      <c r="A5" s="18" t="n"/>
      <c r="B5" s="18" t="n"/>
      <c r="C5" s="19" t="inlineStr">
        <is>
          <t>晚上 9:00</t>
        </is>
      </c>
      <c r="D5" s="19" t="inlineStr">
        <is>
          <t>入住及晚餐</t>
        </is>
      </c>
      <c r="E5" s="19" t="inlineStr">
        <is>
          <t>國際通</t>
        </is>
      </c>
      <c r="F5" s="20" t="inlineStr">
        <is>
          <t>國際通屋台村 或 居酒屋</t>
        </is>
      </c>
    </row>
    <row r="6">
      <c r="A6" s="21" t="n"/>
      <c r="B6" s="21" t="n"/>
      <c r="C6" s="21" t="n"/>
      <c r="D6" s="21" t="n"/>
      <c r="E6" s="21" t="n"/>
      <c r="F6" s="21" t="n"/>
    </row>
    <row r="7">
      <c r="A7" s="13" t="inlineStr">
        <is>
          <t>第2天</t>
        </is>
      </c>
      <c r="B7" s="13" t="inlineStr">
        <is>
          <t>4月13日（一）</t>
        </is>
      </c>
      <c r="C7" s="14" t="n"/>
      <c r="D7" s="14" t="n"/>
      <c r="E7" s="14" t="n"/>
      <c r="F7" s="14" t="n"/>
    </row>
    <row r="8">
      <c r="A8" s="18" t="n"/>
      <c r="B8" s="18" t="n"/>
      <c r="C8" s="19" t="inlineStr">
        <is>
          <t>上午</t>
        </is>
      </c>
      <c r="D8" s="19" t="inlineStr">
        <is>
          <t>睡到自然醒 / 酒店早餐</t>
        </is>
      </c>
      <c r="E8" s="19" t="n"/>
      <c r="F8" s="20" t="inlineStr">
        <is>
          <t>放鬆，為後兩天養精蓄銳</t>
        </is>
      </c>
    </row>
    <row r="9">
      <c r="A9" s="18" t="n"/>
      <c r="B9" s="18" t="n"/>
      <c r="C9" s="19" t="inlineStr">
        <is>
          <t>中午 12:00</t>
        </is>
      </c>
      <c r="D9" s="22" t="inlineStr">
        <is>
          <t>牧志公設市場 — 海鮮大餐</t>
        </is>
      </c>
      <c r="E9" s="19" t="inlineStr">
        <is>
          <t>國際通旁</t>
        </is>
      </c>
      <c r="F9" s="20" t="inlineStr">
        <is>
          <t>1F買海鮮→2F代煮（¥500/道）；試龍蝦、鸚哥魚、海葡萄</t>
        </is>
      </c>
    </row>
    <row r="10">
      <c r="A10" s="18" t="n"/>
      <c r="B10" s="18" t="n"/>
      <c r="C10" s="19" t="inlineStr">
        <is>
          <t>下午</t>
        </is>
      </c>
      <c r="D10" s="19" t="inlineStr">
        <is>
          <t>國際通隨意逛 / 咖啡廳</t>
        </is>
      </c>
      <c r="E10" s="19" t="inlineStr">
        <is>
          <t>國際通</t>
        </is>
      </c>
      <c r="F10" s="20" t="inlineStr">
        <is>
          <t>輕鬆散步，買手信</t>
        </is>
      </c>
    </row>
    <row r="11">
      <c r="A11" s="18" t="n"/>
      <c r="B11" s="18" t="n"/>
      <c r="C11" s="19" t="inlineStr">
        <is>
          <t>晚上 7:00</t>
        </is>
      </c>
      <c r="D11" s="19" t="inlineStr">
        <is>
          <t>晚餐</t>
        </is>
      </c>
      <c r="E11" s="19" t="inlineStr">
        <is>
          <t>那霸</t>
        </is>
      </c>
      <c r="F11" s="20" t="inlineStr">
        <is>
          <t>居酒屋：試 Gurukun 炸魚、Mozuku 醋海藻</t>
        </is>
      </c>
    </row>
    <row r="12">
      <c r="A12" s="23" t="n"/>
      <c r="B12" s="23" t="n"/>
      <c r="C12" s="23" t="n"/>
      <c r="D12" s="23" t="n"/>
      <c r="E12" s="23" t="n"/>
      <c r="F12" s="23" t="n"/>
    </row>
    <row r="13">
      <c r="A13" s="13" t="inlineStr">
        <is>
          <t>第3天</t>
        </is>
      </c>
      <c r="B13" s="13" t="inlineStr">
        <is>
          <t>4月14日（二）</t>
        </is>
      </c>
      <c r="C13" s="14" t="n"/>
      <c r="D13" s="14" t="n"/>
      <c r="E13" s="14" t="n"/>
      <c r="F13" s="14" t="n"/>
    </row>
    <row r="14">
      <c r="A14" s="24" t="n"/>
      <c r="B14" s="24" t="n"/>
      <c r="C14" s="25" t="inlineStr">
        <is>
          <t>上午 8:00</t>
        </is>
      </c>
      <c r="D14" s="25" t="inlineStr">
        <is>
          <t>取租車（OTS 豐崎總店）</t>
        </is>
      </c>
      <c r="E14" s="25" t="inlineStr">
        <is>
          <t>那霸</t>
        </is>
      </c>
      <c r="F14" s="26" t="inlineStr">
        <is>
          <t>詳見「租車攻略」分頁</t>
        </is>
      </c>
    </row>
    <row r="15">
      <c r="A15" s="24" t="n"/>
      <c r="B15" s="24" t="n"/>
      <c r="C15" s="25" t="inlineStr">
        <is>
          <t>上午 8:30</t>
        </is>
      </c>
      <c r="D15" s="25" t="inlineStr">
        <is>
          <t>開車北上（沖繩高速公路）</t>
        </is>
      </c>
      <c r="E15" s="25" t="n"/>
      <c r="F15" s="26" t="inlineStr">
        <is>
          <t>車程約1小時40分；高速費約¥1,050</t>
        </is>
      </c>
    </row>
    <row r="16">
      <c r="A16" s="24" t="n"/>
      <c r="B16" s="24" t="n"/>
      <c r="C16" s="25" t="inlineStr">
        <is>
          <t>上午 10:00</t>
        </is>
      </c>
      <c r="D16" s="27" t="inlineStr">
        <is>
          <t>⭐ 美麗海水族館</t>
        </is>
      </c>
      <c r="E16" s="25" t="inlineStr">
        <is>
          <t>本部町</t>
        </is>
      </c>
      <c r="F16" s="26" t="inlineStr">
        <is>
          <t>開門即入最少人！預留4小時慢慢睇</t>
        </is>
      </c>
    </row>
    <row r="17">
      <c r="A17" s="24" t="n"/>
      <c r="B17" s="24" t="n"/>
      <c r="C17" s="25" t="inlineStr">
        <is>
          <t>上午 10:30</t>
        </is>
      </c>
      <c r="D17" s="25" t="inlineStr">
        <is>
          <t>觀看海豚表演</t>
        </is>
      </c>
      <c r="E17" s="25" t="inlineStr">
        <is>
          <t>水族館旁</t>
        </is>
      </c>
      <c r="F17" s="26" t="inlineStr">
        <is>
          <t>免費！Oki-chan劇場</t>
        </is>
      </c>
    </row>
    <row r="18">
      <c r="A18" s="24" t="n"/>
      <c r="B18" s="24" t="n"/>
      <c r="C18" s="25" t="inlineStr">
        <is>
          <t>中午 12:00</t>
        </is>
      </c>
      <c r="D18" s="25" t="inlineStr">
        <is>
          <t>黑潮之海 鯨鯊餵食前再看一次</t>
        </is>
      </c>
      <c r="E18" s="25" t="inlineStr">
        <is>
          <t>水族館內</t>
        </is>
      </c>
      <c r="F18" s="26" t="inlineStr">
        <is>
          <t>下午3:00有鯨鯊餵食表演</t>
        </is>
      </c>
    </row>
    <row r="19">
      <c r="A19" s="24" t="n"/>
      <c r="B19" s="24" t="n"/>
      <c r="C19" s="25" t="inlineStr">
        <is>
          <t>下午 12:30</t>
        </is>
      </c>
      <c r="D19" s="25" t="inlineStr">
        <is>
          <t>午餐：Inoh 餐廳 或 岸本食堂</t>
        </is>
      </c>
      <c r="E19" s="25" t="inlineStr">
        <is>
          <t>本部町</t>
        </is>
      </c>
      <c r="F19" s="26" t="inlineStr">
        <is>
          <t>Inoh有海景；岸本百年蕎麥麵（¥600-850）</t>
        </is>
      </c>
    </row>
    <row r="20">
      <c r="A20" s="24" t="n"/>
      <c r="B20" s="24" t="n"/>
      <c r="C20" s="25" t="inlineStr">
        <is>
          <t>下午 2:00</t>
        </is>
      </c>
      <c r="D20" s="25" t="inlineStr">
        <is>
          <t>備瀨福木林道散步</t>
        </is>
      </c>
      <c r="E20" s="25" t="inlineStr">
        <is>
          <t>本部町</t>
        </is>
      </c>
      <c r="F20" s="26" t="inlineStr">
        <is>
          <t>水族館旁5分鐘車程，古樹林蔭步道</t>
        </is>
      </c>
    </row>
    <row r="21">
      <c r="A21" s="28" t="n"/>
      <c r="B21" s="28" t="n"/>
      <c r="C21" s="29" t="inlineStr">
        <is>
          <t>下午 3:00</t>
        </is>
      </c>
      <c r="D21" s="29" t="inlineStr">
        <is>
          <t>回水族館看鯨鯊餵食（如想看）</t>
        </is>
      </c>
      <c r="E21" s="29" t="inlineStr">
        <is>
          <t>水族館</t>
        </is>
      </c>
      <c r="F21" s="30" t="inlineStr">
        <is>
          <t>鯨鯊垂直進食 — 壯觀！可選擇跳過</t>
        </is>
      </c>
    </row>
    <row r="22">
      <c r="A22" s="28" t="n"/>
      <c r="B22" s="28" t="n"/>
      <c r="C22" s="29" t="inlineStr">
        <is>
          <t>下午 4:00</t>
        </is>
      </c>
      <c r="D22" s="29" t="inlineStr">
        <is>
          <t>開車南下，經萬座毛</t>
        </is>
      </c>
      <c r="E22" s="29" t="inlineStr">
        <is>
          <t>恩納村</t>
        </is>
      </c>
      <c r="F22" s="30" t="inlineStr">
        <is>
          <t>懸崖絕景，象鼻岩，停留20-30分鐘</t>
        </is>
      </c>
    </row>
    <row r="23">
      <c r="A23" s="28" t="n"/>
      <c r="B23" s="28" t="n"/>
      <c r="C23" s="29" t="inlineStr">
        <is>
          <t>晚上 6:30</t>
        </is>
      </c>
      <c r="D23" s="29" t="inlineStr">
        <is>
          <t>美國村日落晚餐</t>
        </is>
      </c>
      <c r="E23" s="29" t="inlineStr">
        <is>
          <t>北谷町</t>
        </is>
      </c>
      <c r="F23" s="30" t="inlineStr">
        <is>
          <t>海邊看日落 + 海鮮BBQ</t>
        </is>
      </c>
    </row>
    <row r="24">
      <c r="A24" s="28" t="n"/>
      <c r="B24" s="28" t="n"/>
      <c r="C24" s="29" t="inlineStr">
        <is>
          <t>晚上 8:30</t>
        </is>
      </c>
      <c r="D24" s="29" t="inlineStr">
        <is>
          <t>開車回那霸</t>
        </is>
      </c>
      <c r="E24" s="29" t="n"/>
      <c r="F24" s="30" t="inlineStr">
        <is>
          <t>約40分鐘車程</t>
        </is>
      </c>
    </row>
    <row r="25">
      <c r="A25" s="31" t="n"/>
      <c r="B25" s="31" t="n"/>
      <c r="C25" s="31" t="n"/>
      <c r="D25" s="31" t="n"/>
      <c r="E25" s="31" t="n"/>
      <c r="F25" s="31" t="n"/>
    </row>
    <row r="26">
      <c r="A26" s="13" t="inlineStr">
        <is>
          <t>第4天</t>
        </is>
      </c>
      <c r="B26" s="13" t="inlineStr">
        <is>
          <t>4月15日（三）</t>
        </is>
      </c>
      <c r="C26" s="14" t="n"/>
      <c r="D26" s="14" t="n"/>
      <c r="E26" s="14" t="n"/>
      <c r="F26" s="14" t="n"/>
    </row>
    <row r="27">
      <c r="A27" s="28" t="n"/>
      <c r="B27" s="28" t="n"/>
      <c r="C27" s="29" t="inlineStr">
        <is>
          <t>上午 9:00</t>
        </is>
      </c>
      <c r="D27" s="29" t="inlineStr">
        <is>
          <t>開車到恩納村（約40分鐘）</t>
        </is>
      </c>
      <c r="E27" s="29" t="n"/>
      <c r="F27" s="30" t="n"/>
    </row>
    <row r="28">
      <c r="A28" s="32" t="n"/>
      <c r="B28" s="32" t="n"/>
      <c r="C28" s="33" t="inlineStr">
        <is>
          <t>上午 10:00</t>
        </is>
      </c>
      <c r="D28" s="34" t="inlineStr">
        <is>
          <t>⭐ 青之洞窟（藍洞）浮潛</t>
        </is>
      </c>
      <c r="E28" s="33" t="inlineStr">
        <is>
          <t>恩納村 真榮田岬</t>
        </is>
      </c>
      <c r="F28" s="35" t="inlineStr">
        <is>
          <t>半日導賞團約¥4,000-6,000；游入藍光洞窟，超靚！裝備全包</t>
        </is>
      </c>
    </row>
    <row r="29">
      <c r="A29" s="32" t="n"/>
      <c r="B29" s="32" t="n"/>
      <c r="C29" s="33" t="inlineStr">
        <is>
          <t>下午 12:30</t>
        </is>
      </c>
      <c r="D29" s="33" t="inlineStr">
        <is>
          <t>午餐</t>
        </is>
      </c>
      <c r="E29" s="33" t="inlineStr">
        <is>
          <t>恩納村 / 北谷</t>
        </is>
      </c>
      <c r="F29" s="35" t="inlineStr">
        <is>
          <t>沿海餐廳</t>
        </is>
      </c>
    </row>
    <row r="30">
      <c r="A30" s="32" t="n"/>
      <c r="B30" s="32" t="n"/>
      <c r="C30" s="33" t="inlineStr">
        <is>
          <t>下午 2:00</t>
        </is>
      </c>
      <c r="D30" s="33" t="inlineStr">
        <is>
          <t>自由活動</t>
        </is>
      </c>
      <c r="E30" s="33" t="n"/>
      <c r="F30" s="35" t="inlineStr">
        <is>
          <t>可選：再去海灘 / 美國村購物 / 琉球玻璃村</t>
        </is>
      </c>
    </row>
    <row r="31">
      <c r="A31" s="32" t="n"/>
      <c r="B31" s="32" t="n"/>
      <c r="C31" s="33" t="inlineStr">
        <is>
          <t>下午 4:30</t>
        </is>
      </c>
      <c r="D31" s="33" t="inlineStr">
        <is>
          <t>歸還租車</t>
        </is>
      </c>
      <c r="E31" s="33" t="inlineStr">
        <is>
          <t>那霸</t>
        </is>
      </c>
      <c r="F31" s="35" t="n"/>
    </row>
    <row r="32">
      <c r="A32" s="32" t="n"/>
      <c r="B32" s="32" t="n"/>
      <c r="C32" s="33" t="inlineStr">
        <is>
          <t>下午 5:30</t>
        </is>
      </c>
      <c r="D32" s="33" t="inlineStr">
        <is>
          <t>國際通最後購物</t>
        </is>
      </c>
      <c r="E32" s="33" t="inlineStr">
        <is>
          <t>那霸</t>
        </is>
      </c>
      <c r="F32" s="35" t="inlineStr">
        <is>
          <t>手信：風獅爺、泡盛、紅芋撻</t>
        </is>
      </c>
    </row>
    <row r="33">
      <c r="A33" s="32" t="n"/>
      <c r="B33" s="32" t="n"/>
      <c r="C33" s="33" t="inlineStr">
        <is>
          <t>晚上 7:00</t>
        </is>
      </c>
      <c r="D33" s="33" t="inlineStr">
        <is>
          <t>告別晚餐</t>
        </is>
      </c>
      <c r="E33" s="33" t="inlineStr">
        <is>
          <t>那霸</t>
        </is>
      </c>
      <c r="F33" s="35" t="inlineStr">
        <is>
          <t>牧志市場2F 或 阿古豬涮涮鍋</t>
        </is>
      </c>
    </row>
    <row r="34"/>
    <row r="35">
      <c r="A35" s="4" t="inlineStr">
        <is>
          <t>第5天</t>
        </is>
      </c>
      <c r="B35" s="4" t="inlineStr">
        <is>
          <t>4月16日（四）</t>
        </is>
      </c>
      <c r="C35" s="36" t="n"/>
      <c r="D35" s="36" t="n"/>
      <c r="E35" s="36" t="n"/>
      <c r="F35" s="36" t="n"/>
    </row>
    <row r="36">
      <c r="A36" s="37" t="n"/>
      <c r="B36" s="37" t="n"/>
      <c r="C36" s="7" t="inlineStr">
        <is>
          <t>上午</t>
        </is>
      </c>
      <c r="D36" s="7" t="inlineStr">
        <is>
          <t>睡到自然醒 / 早餐</t>
        </is>
      </c>
      <c r="E36" s="7" t="n"/>
      <c r="F36" s="9" t="n"/>
    </row>
    <row r="37">
      <c r="A37" s="37" t="n"/>
      <c r="B37" s="37" t="n"/>
      <c r="C37" s="7" t="inlineStr">
        <is>
          <t>中午前</t>
        </is>
      </c>
      <c r="D37" s="7" t="inlineStr">
        <is>
          <t>最後觀光或購物</t>
        </is>
      </c>
      <c r="E37" s="7" t="inlineStr">
        <is>
          <t>那霸</t>
        </is>
      </c>
      <c r="F37" s="9" t="inlineStr">
        <is>
          <t>壺屋陶器街 或 DFS</t>
        </is>
      </c>
    </row>
    <row r="38">
      <c r="A38" s="37" t="n"/>
      <c r="B38" s="37" t="n"/>
      <c r="C38" s="7" t="inlineStr">
        <is>
          <t>下午</t>
        </is>
      </c>
      <c r="D38" s="7" t="inlineStr">
        <is>
          <t>休息 / 咖啡廳</t>
        </is>
      </c>
      <c r="E38" s="7" t="inlineStr">
        <is>
          <t>那霸</t>
        </is>
      </c>
      <c r="F38" s="9" t="n"/>
    </row>
    <row r="39">
      <c r="A39" s="37" t="n"/>
      <c r="B39" s="37" t="n"/>
      <c r="C39" s="7" t="inlineStr">
        <is>
          <t>下午 5:00</t>
        </is>
      </c>
      <c r="D39" s="7" t="inlineStr">
        <is>
          <t>前往機場</t>
        </is>
      </c>
      <c r="E39" s="7" t="inlineStr">
        <is>
          <t>那霸機場</t>
        </is>
      </c>
      <c r="F39" s="9" t="inlineStr">
        <is>
          <t>國際航班建議提前約3小時到達</t>
        </is>
      </c>
    </row>
    <row r="40">
      <c r="A40" s="37" t="n"/>
      <c r="B40" s="37" t="n"/>
      <c r="C40" s="7" t="inlineStr">
        <is>
          <t>晚上 8:00</t>
        </is>
      </c>
      <c r="D40" s="7" t="inlineStr">
        <is>
          <t>UO 825 飛返香港</t>
        </is>
      </c>
      <c r="E40" s="7" t="inlineStr">
        <is>
          <t>那霸機場</t>
        </is>
      </c>
      <c r="F40" s="9" t="inlineStr">
        <is>
          <t>HK Express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14" customWidth="1" min="3" max="3"/>
    <col width="36" customWidth="1" min="4" max="4"/>
  </cols>
  <sheetData>
    <row r="1">
      <c r="A1" s="1" t="inlineStr">
        <is>
          <t>實用攻略</t>
        </is>
      </c>
    </row>
    <row r="3">
      <c r="A3" s="4" t="inlineStr">
        <is>
          <t>📍 抵達當晚（4月12日）</t>
        </is>
      </c>
      <c r="B3" s="5" t="n"/>
      <c r="C3" s="5" t="n"/>
      <c r="D3" s="6" t="n"/>
    </row>
    <row r="4">
      <c r="A4" s="7" t="inlineStr">
        <is>
          <t>晚上 7:30 降落</t>
        </is>
      </c>
      <c r="B4" s="7" t="inlineStr">
        <is>
          <t>過關→提行李→買eSIM</t>
        </is>
      </c>
      <c r="C4" s="7" t="inlineStr"/>
      <c r="D4" s="7" t="inlineStr">
        <is>
          <t>預先填 Visit Japan Web</t>
        </is>
      </c>
    </row>
    <row r="5">
      <c r="A5" s="7" t="inlineStr">
        <is>
          <t>機場→國際通</t>
        </is>
      </c>
      <c r="B5" s="7" t="inlineStr">
        <is>
          <t>單軌列車 ¥270（15分鐘）</t>
        </is>
      </c>
      <c r="C5" s="7" t="inlineStr">
        <is>
          <t>¥270-330</t>
        </is>
      </c>
      <c r="D5" s="7" t="inlineStr">
        <is>
          <t>尾班車約11:30；或的士¥1,500-2,000</t>
        </is>
      </c>
    </row>
    <row r="6">
      <c r="A6" s="7" t="inlineStr">
        <is>
          <t>深夜晚餐</t>
        </is>
      </c>
      <c r="B6" s="7" t="inlineStr">
        <is>
          <t>國際通屋台村（營業至凌晨1點）</t>
        </is>
      </c>
      <c r="C6" s="7" t="inlineStr">
        <is>
          <t>¥1,000-3,000</t>
        </is>
      </c>
      <c r="D6" s="7" t="inlineStr">
        <is>
          <t>約20間小店；壽司、串燒、沖繩料理</t>
        </is>
      </c>
    </row>
    <row r="8">
      <c r="A8" s="4" t="inlineStr">
        <is>
          <t>🐋 美麗海水族館</t>
        </is>
      </c>
      <c r="B8" s="5" t="n"/>
      <c r="C8" s="5" t="n"/>
      <c r="D8" s="6" t="n"/>
    </row>
    <row r="9">
      <c r="A9" s="7" t="inlineStr">
        <is>
          <t>成人門票</t>
        </is>
      </c>
      <c r="B9" s="7" t="inlineStr">
        <is>
          <t>¥2,180（FamilyMart ¥1,850-1,950）</t>
        </is>
      </c>
      <c r="C9" s="7" t="inlineStr"/>
      <c r="D9" s="7" t="inlineStr">
        <is>
          <t>收銀機購買，只收現金/Famipay</t>
        </is>
      </c>
    </row>
    <row r="10">
      <c r="A10" s="7" t="inlineStr">
        <is>
          <t>開放時間（4月）</t>
        </is>
      </c>
      <c r="B10" s="7" t="inlineStr">
        <is>
          <t>8:30 AM - 8:00 PM</t>
        </is>
      </c>
      <c r="C10" s="7" t="inlineStr"/>
      <c r="D10" s="7" t="inlineStr">
        <is>
          <t>最後入場 7:00 PM</t>
        </is>
      </c>
    </row>
    <row r="11">
      <c r="A11" s="7" t="inlineStr">
        <is>
          <t>最佳時間</t>
        </is>
      </c>
      <c r="B11" s="7" t="inlineStr">
        <is>
          <t>開門即入 8:30-10:00</t>
        </is>
      </c>
      <c r="C11" s="7" t="inlineStr"/>
      <c r="D11" s="7" t="inlineStr">
        <is>
          <t>10:30-14:00 最擠（旅遊巴高峰）</t>
        </is>
      </c>
    </row>
    <row r="12">
      <c r="A12" s="7" t="inlineStr">
        <is>
          <t>海豚表演（免費）</t>
        </is>
      </c>
      <c r="B12" s="7" t="inlineStr">
        <is>
          <t>10:30 / 11:30 / 13:00 / 15:00 / 17:00</t>
        </is>
      </c>
      <c r="C12" s="7" t="inlineStr"/>
      <c r="D12" s="7" t="inlineStr">
        <is>
          <t>Oki-chan劇場，戶外</t>
        </is>
      </c>
    </row>
    <row r="13">
      <c r="A13" s="7" t="inlineStr">
        <is>
          <t>鯨鯊餵食</t>
        </is>
      </c>
      <c r="B13" s="7" t="inlineStr">
        <is>
          <t>下午 3:00 及 5:00</t>
        </is>
      </c>
      <c r="C13" s="7" t="inlineStr"/>
      <c r="D13" s="7" t="inlineStr">
        <is>
          <t>鯨鯊垂直進食 — 必看！</t>
        </is>
      </c>
    </row>
    <row r="14">
      <c r="A14" s="7" t="inlineStr">
        <is>
          <t>停車場</t>
        </is>
      </c>
      <c r="B14" s="7" t="inlineStr">
        <is>
          <t>免費</t>
        </is>
      </c>
      <c r="C14" s="7" t="inlineStr"/>
      <c r="D14" s="7" t="inlineStr">
        <is>
          <t>自駕約1小時40分鐘（高速費¥1,050）</t>
        </is>
      </c>
    </row>
    <row r="15">
      <c r="A15" s="7" t="inlineStr">
        <is>
          <t>附近</t>
        </is>
      </c>
      <c r="B15" s="7" t="inlineStr">
        <is>
          <t>備瀨福木林道（5分鐘車程）</t>
        </is>
      </c>
      <c r="C15" s="7" t="inlineStr"/>
      <c r="D15" s="7" t="inlineStr">
        <is>
          <t>古樹步道，很有氣氛</t>
        </is>
      </c>
    </row>
    <row r="16">
      <c r="A16" s="7" t="inlineStr">
        <is>
          <t>Mapcode</t>
        </is>
      </c>
      <c r="B16" s="7" t="inlineStr">
        <is>
          <t>553 075 797</t>
        </is>
      </c>
      <c r="C16" s="7" t="inlineStr"/>
      <c r="D16" s="7" t="inlineStr">
        <is>
          <t>GPS導航用</t>
        </is>
      </c>
    </row>
    <row r="18">
      <c r="A18" s="4" t="inlineStr">
        <is>
          <t>🤿 藍洞浮潛（青之洞窟）</t>
        </is>
      </c>
      <c r="B18" s="5" t="n"/>
      <c r="C18" s="5" t="n"/>
      <c r="D18" s="6" t="n"/>
    </row>
    <row r="19">
      <c r="A19" s="7" t="inlineStr">
        <is>
          <t>地點</t>
        </is>
      </c>
      <c r="B19" s="7" t="inlineStr">
        <is>
          <t>恩納村 真榮田岬</t>
        </is>
      </c>
      <c r="C19" s="7" t="inlineStr"/>
      <c r="D19" s="7" t="inlineStr">
        <is>
          <t>那霸開車約40分鐘</t>
        </is>
      </c>
    </row>
    <row r="20">
      <c r="A20" s="7" t="inlineStr">
        <is>
          <t>費用</t>
        </is>
      </c>
      <c r="B20" s="7" t="inlineStr">
        <is>
          <t>半日導賞團 ¥4,000-6,000</t>
        </is>
      </c>
      <c r="C20" s="7" t="inlineStr"/>
      <c r="D20" s="7" t="inlineStr">
        <is>
          <t>裝備全包，適合初學者</t>
        </is>
      </c>
    </row>
    <row r="21">
      <c r="A21" s="7" t="inlineStr">
        <is>
          <t>特色</t>
        </is>
      </c>
      <c r="B21" s="7" t="inlineStr">
        <is>
          <t>游入藍光洞窟</t>
        </is>
      </c>
      <c r="C21" s="7" t="inlineStr"/>
      <c r="D21" s="7" t="inlineStr">
        <is>
          <t>陽光折射形成夢幻藍光</t>
        </is>
      </c>
    </row>
    <row r="22">
      <c r="A22" s="7" t="inlineStr">
        <is>
          <t>預約</t>
        </is>
      </c>
      <c r="B22" s="7" t="inlineStr">
        <is>
          <t>Klook / Viator / 當地店</t>
        </is>
      </c>
      <c r="C22" s="7" t="inlineStr"/>
      <c r="D22" s="7" t="inlineStr">
        <is>
          <t>建議提前預約</t>
        </is>
      </c>
    </row>
    <row r="24">
      <c r="A24" s="4" t="inlineStr">
        <is>
          <t>🦞 海鮮重點</t>
        </is>
      </c>
      <c r="B24" s="5" t="n"/>
      <c r="C24" s="5" t="n"/>
      <c r="D24" s="6" t="n"/>
    </row>
    <row r="25">
      <c r="A25" s="7" t="inlineStr">
        <is>
          <t>牧志公設市場</t>
        </is>
      </c>
      <c r="B25" s="7" t="inlineStr">
        <is>
          <t>1F買海鮮→2F代煮（每道¥500）</t>
        </is>
      </c>
      <c r="C25" s="7" t="inlineStr">
        <is>
          <t>¥2,000-5,000</t>
        </is>
      </c>
      <c r="D25" s="7" t="inlineStr">
        <is>
          <t>龍蝦、鸚哥魚、海葡萄；營業 8AM-10PM</t>
        </is>
      </c>
    </row>
    <row r="26">
      <c r="A26" s="7" t="inlineStr">
        <is>
          <t>必試</t>
        </is>
      </c>
      <c r="B26" s="7" t="inlineStr">
        <is>
          <t>海葡萄、Gurukun炸魚、Mozuku醋海藻</t>
        </is>
      </c>
      <c r="C26" s="7" t="inlineStr"/>
      <c r="D26" s="7" t="inlineStr">
        <is>
          <t>沖繩特色海鮮</t>
        </is>
      </c>
    </row>
    <row r="27">
      <c r="A27" s="7" t="inlineStr">
        <is>
          <t>伊勢龍蝦</t>
        </is>
      </c>
      <c r="B27" s="7" t="inlineStr">
        <is>
          <t>鹽燒或刺身</t>
        </is>
      </c>
      <c r="C27" s="7" t="inlineStr">
        <is>
          <t>¥3,000-5,000+</t>
        </is>
      </c>
      <c r="D27" s="7" t="inlineStr">
        <is>
          <t>沖繩頂級海鮮</t>
        </is>
      </c>
    </row>
    <row r="28">
      <c r="A28" s="7" t="inlineStr">
        <is>
          <t>泡瀨漁港 Payao</t>
        </is>
      </c>
      <c r="B28" s="7" t="inlineStr">
        <is>
          <t>沖繩市，超鮮刺身、龍蝦天婦羅</t>
        </is>
      </c>
      <c r="C28" s="7" t="inlineStr">
        <is>
          <t>¥500-2,000</t>
        </is>
      </c>
      <c r="D28" s="7" t="inlineStr">
        <is>
          <t>本地人至愛，平民價</t>
        </is>
      </c>
    </row>
    <row r="29">
      <c r="A29" s="7" t="inlineStr">
        <is>
          <t>岸本食堂</t>
        </is>
      </c>
      <c r="B29" s="7" t="inlineStr">
        <is>
          <t>本部町，百年手打蕎麥麵</t>
        </is>
      </c>
      <c r="C29" s="7" t="inlineStr">
        <is>
          <t>¥600-850</t>
        </is>
      </c>
      <c r="D29" s="7" t="inlineStr">
        <is>
          <t>水族館附近，排隊名店</t>
        </is>
      </c>
    </row>
    <row r="31">
      <c r="A31" s="4" t="inlineStr">
        <is>
          <t>🚗 租車須知</t>
        </is>
      </c>
      <c r="B31" s="5" t="n"/>
      <c r="C31" s="5" t="n"/>
      <c r="D31" s="6" t="n"/>
    </row>
    <row r="32">
      <c r="A32" s="7" t="inlineStr">
        <is>
          <t>必備文件</t>
        </is>
      </c>
      <c r="B32" s="7" t="inlineStr">
        <is>
          <t>IDP小冊子 + 香港駕照 + 護照</t>
        </is>
      </c>
      <c r="C32" s="7" t="inlineStr"/>
      <c r="D32" s="7" t="inlineStr">
        <is>
          <t>三樣缺一不可！</t>
        </is>
      </c>
    </row>
    <row r="33">
      <c r="A33" s="7" t="inlineStr">
        <is>
          <t>推薦</t>
        </is>
      </c>
      <c r="B33" s="7" t="inlineStr">
        <is>
          <t>OTS Rent-A-Car</t>
        </is>
      </c>
      <c r="C33" s="7" t="inlineStr">
        <is>
          <t>¥3,000-5,500/天</t>
        </is>
      </c>
      <c r="D33" s="7" t="inlineStr">
        <is>
          <t>多語言；機場免費接駁</t>
        </is>
      </c>
    </row>
    <row r="34">
      <c r="A34" s="7" t="inlineStr">
        <is>
          <t>建議方案</t>
        </is>
      </c>
      <c r="B34" s="7" t="inlineStr">
        <is>
          <t>第3-4天才取車（第2天那霸不需車）</t>
        </is>
      </c>
      <c r="C34" s="7" t="inlineStr"/>
      <c r="D34" s="7" t="inlineStr">
        <is>
          <t>慳一晚租車費</t>
        </is>
      </c>
    </row>
    <row r="35">
      <c r="A35" s="7" t="inlineStr">
        <is>
          <t>行車方向</t>
        </is>
      </c>
      <c r="B35" s="7" t="inlineStr">
        <is>
          <t>靠左行駛（同香港！）</t>
        </is>
      </c>
      <c r="C35" s="7" t="inlineStr"/>
      <c r="D35" s="7" t="inlineStr">
        <is>
          <t>軚盤在右邊</t>
        </is>
      </c>
    </row>
    <row r="36">
      <c r="A36" s="7" t="inlineStr">
        <is>
          <t>高速公路費</t>
        </is>
      </c>
      <c r="B36" s="7" t="inlineStr">
        <is>
          <t>那霸→名護約¥1,050單程</t>
        </is>
      </c>
      <c r="C36" s="7" t="inlineStr"/>
      <c r="D36" s="7" t="inlineStr">
        <is>
          <t>ETC卡慳約30%</t>
        </is>
      </c>
    </row>
    <row r="37">
      <c r="A37" s="7" t="inlineStr">
        <is>
          <t>泊車</t>
        </is>
      </c>
      <c r="B37" s="7" t="inlineStr">
        <is>
          <t>景點大多免費；那霸需收費停車場</t>
        </is>
      </c>
      <c r="C37" s="7" t="inlineStr"/>
      <c r="D37" s="7" t="inlineStr">
        <is>
          <t>嚴格執法違泊</t>
        </is>
      </c>
    </row>
    <row r="38">
      <c r="A38" s="7" t="inlineStr">
        <is>
          <t>GPS</t>
        </is>
      </c>
      <c r="B38" s="7" t="inlineStr">
        <is>
          <t>輸入 Mapcode（比地址準確）</t>
        </is>
      </c>
      <c r="C38" s="7" t="inlineStr"/>
      <c r="D38" s="7" t="inlineStr">
        <is>
          <t>大部分有英文GPS</t>
        </is>
      </c>
    </row>
  </sheetData>
  <mergeCells count="6">
    <mergeCell ref="A1:D1"/>
    <mergeCell ref="A18:D18"/>
    <mergeCell ref="A8:D8"/>
    <mergeCell ref="A31:D31"/>
    <mergeCell ref="A3:D3"/>
    <mergeCell ref="A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18" customWidth="1" min="4" max="4"/>
    <col width="38" customWidth="1" min="5" max="5"/>
  </cols>
  <sheetData>
    <row r="1">
      <c r="A1" s="38" t="inlineStr">
        <is>
          <t>類別</t>
        </is>
      </c>
      <c r="B1" s="38" t="inlineStr">
        <is>
          <t>項目</t>
        </is>
      </c>
      <c r="C1" s="38" t="inlineStr">
        <is>
          <t>預計費用（日圓）</t>
        </is>
      </c>
      <c r="D1" s="38" t="inlineStr">
        <is>
          <t>預計費用（港幣）</t>
        </is>
      </c>
      <c r="E1" s="38" t="inlineStr">
        <is>
          <t>備註</t>
        </is>
      </c>
    </row>
    <row r="2">
      <c r="A2" s="39" t="inlineStr">
        <is>
          <t>匯率</t>
        </is>
      </c>
      <c r="B2" t="inlineStr">
        <is>
          <t>1 JPY =</t>
        </is>
      </c>
      <c r="C2" s="40" t="n">
        <v>155</v>
      </c>
      <c r="D2" t="inlineStr">
        <is>
          <t>每10,000日圓兌港幣</t>
        </is>
      </c>
    </row>
    <row r="3">
      <c r="B3" s="41" t="inlineStr">
        <is>
          <t>（約 10,000 日圓 ≈ 500 港幣）</t>
        </is>
      </c>
    </row>
    <row r="4">
      <c r="A4" s="42" t="inlineStr">
        <is>
          <t>類別</t>
        </is>
      </c>
      <c r="B4" s="42" t="inlineStr">
        <is>
          <t>項目</t>
        </is>
      </c>
      <c r="C4" s="42" t="inlineStr">
        <is>
          <t>預計費用（日圓）</t>
        </is>
      </c>
      <c r="D4" s="42" t="inlineStr">
        <is>
          <t>預計費用（港幣）</t>
        </is>
      </c>
      <c r="E4" s="42" t="inlineStr">
        <is>
          <t>備註</t>
        </is>
      </c>
    </row>
    <row r="5">
      <c r="A5" s="43" t="inlineStr">
        <is>
          <t>機票</t>
        </is>
      </c>
      <c r="B5" s="43" t="inlineStr">
        <is>
          <t>香港 ↔ 沖繩（來回）</t>
        </is>
      </c>
      <c r="C5" s="43" t="n">
        <v>25000</v>
      </c>
      <c r="D5" s="43" t="inlineStr">
        <is>
          <t>查看 HK Express / Peach</t>
        </is>
      </c>
    </row>
    <row r="6">
      <c r="A6" s="43" t="n"/>
      <c r="B6" s="43" t="n"/>
      <c r="C6" s="43" t="n"/>
      <c r="D6" s="43">
        <f>IF(C6="","",ROUND(C6/$C$2*10,0))</f>
        <v/>
      </c>
    </row>
    <row r="7">
      <c r="A7" s="43" t="inlineStr">
        <is>
          <t>住宿</t>
        </is>
      </c>
      <c r="B7" s="43" t="inlineStr">
        <is>
          <t>酒店4晚（中檔）</t>
        </is>
      </c>
      <c r="C7" s="43" t="n">
        <v>40000</v>
      </c>
      <c r="D7" s="43" t="inlineStr">
        <is>
          <t>約¥10,000/晚，國際通附近</t>
        </is>
      </c>
    </row>
    <row r="8">
      <c r="A8" s="43" t="n"/>
      <c r="B8" s="43" t="n"/>
      <c r="C8" s="43" t="n"/>
      <c r="D8" s="43">
        <f>IF(C8="","",ROUND(C8/$C$2*10,0))</f>
        <v/>
      </c>
    </row>
    <row r="9">
      <c r="A9" s="43" t="inlineStr">
        <is>
          <t>交通</t>
        </is>
      </c>
      <c r="B9" s="43" t="inlineStr">
        <is>
          <t>單軌列車一日券</t>
        </is>
      </c>
      <c r="C9" s="43" t="n">
        <v>800</v>
      </c>
      <c r="D9" s="43" t="inlineStr">
        <is>
          <t>那霸單軌列車</t>
        </is>
      </c>
    </row>
    <row r="10">
      <c r="A10" s="43" t="n"/>
      <c r="B10" s="43" t="inlineStr">
        <is>
          <t>租車（2天）</t>
        </is>
      </c>
      <c r="C10" s="43" t="n">
        <v>12000</v>
      </c>
      <c r="D10" s="43" t="inlineStr">
        <is>
          <t>小型車連CDW+NOC豁免</t>
        </is>
      </c>
    </row>
    <row r="11">
      <c r="A11" s="43" t="n"/>
      <c r="B11" s="43" t="inlineStr">
        <is>
          <t>高速公路費（來回）</t>
        </is>
      </c>
      <c r="C11" s="43" t="n">
        <v>2500</v>
      </c>
      <c r="D11" s="43" t="inlineStr">
        <is>
          <t>那霸↔名護</t>
        </is>
      </c>
    </row>
    <row r="12">
      <c r="A12" s="43" t="n"/>
      <c r="B12" s="43" t="inlineStr">
        <is>
          <t>油費</t>
        </is>
      </c>
      <c r="C12" s="43" t="n">
        <v>3000</v>
      </c>
      <c r="D12" s="43">
        <f>IF(C12="","",ROUND(C12/$C$2*10,0))</f>
        <v/>
      </c>
    </row>
    <row r="13">
      <c r="A13" s="43" t="n"/>
      <c r="B13" s="43" t="inlineStr">
        <is>
          <t>機場的士/巴士</t>
        </is>
      </c>
      <c r="C13" s="43" t="n">
        <v>2000</v>
      </c>
      <c r="D13" s="43">
        <f>IF(C13="","",ROUND(C13/$C$2*10,0))</f>
        <v/>
      </c>
    </row>
    <row r="14">
      <c r="A14" s="43" t="n"/>
      <c r="B14" s="43" t="n"/>
      <c r="C14" s="43" t="n"/>
      <c r="D14" s="43">
        <f>IF(C14="","",ROUND(C14/$C$2*10,0))</f>
        <v/>
      </c>
    </row>
    <row r="15">
      <c r="A15" s="43" t="inlineStr">
        <is>
          <t>餐飲</t>
        </is>
      </c>
      <c r="B15" s="43" t="inlineStr">
        <is>
          <t>膳食（4天平均¥4,000/天）</t>
        </is>
      </c>
      <c r="C15" s="43" t="n">
        <v>16000</v>
      </c>
      <c r="D15" s="43" t="inlineStr">
        <is>
          <t>本地餐廳 + 輕食</t>
        </is>
      </c>
    </row>
    <row r="16">
      <c r="A16" s="43" t="n"/>
      <c r="B16" s="43" t="inlineStr">
        <is>
          <t>牧志市場海鮮大餐</t>
        </is>
      </c>
      <c r="C16" s="43" t="n">
        <v>5000</v>
      </c>
      <c r="D16" s="43" t="inlineStr">
        <is>
          <t>龍蝦+2道海鮮+代煮費</t>
        </is>
      </c>
    </row>
    <row r="17">
      <c r="A17" s="43" t="n"/>
      <c r="B17" s="43" t="inlineStr">
        <is>
          <t>零食及飲品</t>
        </is>
      </c>
      <c r="C17" s="43" t="n">
        <v>3000</v>
      </c>
      <c r="D17" s="43">
        <f>IF(C17="","",ROUND(C17/$C$2*10,0))</f>
        <v/>
      </c>
    </row>
    <row r="18">
      <c r="A18" s="43" t="n"/>
      <c r="B18" s="43" t="n"/>
      <c r="C18" s="43" t="n"/>
      <c r="D18" s="43">
        <f>IF(C18="","",ROUND(C18/$C$2*10,0))</f>
        <v/>
      </c>
    </row>
    <row r="19">
      <c r="A19" s="43" t="inlineStr">
        <is>
          <t>活動</t>
        </is>
      </c>
      <c r="B19" s="43" t="inlineStr">
        <is>
          <t>美麗海水族館</t>
        </is>
      </c>
      <c r="C19" s="43" t="n">
        <v>1950</v>
      </c>
      <c r="D19" s="43" t="inlineStr">
        <is>
          <t>便利店優惠票</t>
        </is>
      </c>
    </row>
    <row r="20">
      <c r="A20" s="43" t="n"/>
      <c r="B20" s="43" t="inlineStr">
        <is>
          <t>沖繩世界</t>
        </is>
      </c>
      <c r="C20" s="43" t="n">
        <v>2000</v>
      </c>
      <c r="D20" s="43">
        <f>IF(C20="","",ROUND(C20/$C$2*10,0))</f>
        <v/>
      </c>
    </row>
    <row r="21">
      <c r="A21" s="43" t="n"/>
      <c r="B21" s="43" t="inlineStr">
        <is>
          <t>浮潛體驗</t>
        </is>
      </c>
      <c r="C21" s="43" t="n">
        <v>6000</v>
      </c>
      <c r="D21" s="43" t="inlineStr">
        <is>
          <t>半日團</t>
        </is>
      </c>
      <c r="E21" t="inlineStr">
        <is>
          <t>藍洞半日團（恩納村）</t>
        </is>
      </c>
    </row>
    <row r="22">
      <c r="A22" s="43" t="n"/>
      <c r="B22" s="43" t="inlineStr">
        <is>
          <t>工藝體驗坊</t>
        </is>
      </c>
      <c r="C22" s="43" t="n">
        <v>3000</v>
      </c>
      <c r="D22" s="43" t="inlineStr">
        <is>
          <t>玻璃或陶藝</t>
        </is>
      </c>
    </row>
    <row r="23">
      <c r="A23" s="43" t="n"/>
      <c r="B23" s="43" t="n"/>
      <c r="C23" s="43" t="n"/>
      <c r="D23" s="43">
        <f>IF(C23="","",ROUND(C23/$C$2*10,0))</f>
        <v/>
      </c>
    </row>
    <row r="24">
      <c r="A24" s="43" t="inlineStr">
        <is>
          <t>購物</t>
        </is>
      </c>
      <c r="B24" s="43" t="inlineStr">
        <is>
          <t>手信及雜項</t>
        </is>
      </c>
      <c r="C24" s="43" t="n">
        <v>10000</v>
      </c>
      <c r="D24" s="43">
        <f>IF(C24="","",ROUND(C24/$C$2*10,0))</f>
        <v/>
      </c>
    </row>
    <row r="25">
      <c r="A25" s="43" t="n"/>
      <c r="B25" s="43" t="n"/>
      <c r="C25" s="43" t="n"/>
      <c r="D25" s="43">
        <f>IF(C25="","",ROUND(C25/$C$2*10,0))</f>
        <v/>
      </c>
    </row>
    <row r="26">
      <c r="A26" s="43" t="inlineStr">
        <is>
          <t>其他</t>
        </is>
      </c>
      <c r="B26" s="43" t="inlineStr">
        <is>
          <t>旅遊保險</t>
        </is>
      </c>
      <c r="C26" s="43" t="n">
        <v>2000</v>
      </c>
      <c r="D26" s="43">
        <f>IF(C26="","",ROUND(C26/$C$2*10,0))</f>
        <v/>
      </c>
    </row>
    <row r="27">
      <c r="A27" s="43" t="n"/>
      <c r="B27" s="43" t="inlineStr">
        <is>
          <t>SIM卡 / WiFi蛋</t>
        </is>
      </c>
      <c r="C27" s="43" t="n">
        <v>1500</v>
      </c>
      <c r="D27" s="43" t="inlineStr">
        <is>
          <t>eSIM更方便</t>
        </is>
      </c>
    </row>
    <row r="28">
      <c r="A28" s="43" t="n"/>
      <c r="B28" s="43" t="inlineStr">
        <is>
          <t>國際駕駛許可證</t>
        </is>
      </c>
      <c r="C28" s="43" t="n"/>
      <c r="D28" s="43" t="inlineStr">
        <is>
          <t>HK$80（另計）</t>
        </is>
      </c>
    </row>
    <row r="29"/>
    <row r="30">
      <c r="A30" s="44" t="inlineStr">
        <is>
          <t>合計</t>
        </is>
      </c>
      <c r="B30" s="45" t="n"/>
      <c r="C30" s="44">
        <f>SUM(C5:C28)</f>
        <v/>
      </c>
      <c r="D30" s="44">
        <f>ROUND(C30/$C$2*10,0)</f>
        <v/>
      </c>
      <c r="E30" s="4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2026-03-16T17:17:45Z</dcterms:created>
  <dcterms:modified xmlns:dcterms="http://purl.org/dc/terms/" xmlns:xsi="http://www.w3.org/2001/XMLSchema-instance" xsi:type="dcterms:W3CDTF">2026-03-16T17:17:45Z</dcterms:modified>
</cp:coreProperties>
</file>