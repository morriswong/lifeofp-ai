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dding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<sst xmlns="http://schemas.openxmlformats.org/spreadsheetml/2006/main" count="112" uniqueCount="108">
  <si>
    <t xml:space="preserve">WEDDING PLAN  ·  UK DESTINATION</t>
  </si>
  <si>
    <t xml:space="preserve">Based on EMBOK event management framework  ·  Initiation → Planning → Implementation → The Event → Closure</t>
  </si>
  <si>
    <t xml:space="preserve">📅  Wedding date</t>
  </si>
  <si>
    <t xml:space="preserve">You are in →</t>
  </si>
  <si>
    <t xml:space="preserve">💰  Total budget</t>
  </si>
  <si>
    <t xml:space="preserve">👥  Guest count</t>
  </si>
  <si>
    <t xml:space="preserve">← edit all blue cells freely</t>
  </si>
  <si>
    <t xml:space="preserve">1 · INITIATION</t>
  </si>
  <si>
    <t xml:space="preserve">2 · PLANNING</t>
  </si>
  <si>
    <t xml:space="preserve">3 · IMPLEMENTATION</t>
  </si>
  <si>
    <t xml:space="preserve">4 · THE EVENT</t>
  </si>
  <si>
    <t xml:space="preserve">5 · CLOSURE</t>
  </si>
  <si>
    <t xml:space="preserve">▼</t>
  </si>
  <si>
    <t xml:space="preserve">Phase</t>
  </si>
  <si>
    <t xml:space="preserve">Task</t>
  </si>
  <si>
    <t xml:space="preserve">Budget (£)</t>
  </si>
  <si>
    <t xml:space="preserve">Done?</t>
  </si>
  <si>
    <t xml:space="preserve">Notes</t>
  </si>
  <si>
    <t xml:space="preserve">  PHASE 1  ·  INITIATION</t>
  </si>
  <si>
    <t xml:space="preserve">Agree total budget &amp; who is contributing</t>
  </si>
  <si>
    <t xml:space="preserve">Family contributions? Couple paying? Get this locked first.</t>
  </si>
  <si>
    <t xml:space="preserve">Draft guest list (day + evening)</t>
  </si>
  <si>
    <t xml:space="preserve">Guest count drives almost every other cost. Be ruthless early.</t>
  </si>
  <si>
    <t xml:space="preserve">Choose wedding date &amp; season</t>
  </si>
  <si>
    <t xml:space="preserve">Summer weekends cost more. Fri/off-peak = meaningful saving.</t>
  </si>
  <si>
    <t xml:space="preserve">Define style &amp; vision</t>
  </si>
  <si>
    <t xml:space="preserve">Mood board. Formal? Relaxed? Indoor? Outdoor? Rustic estate?</t>
  </si>
  <si>
    <t xml:space="preserve">Take out wedding insurance</t>
  </si>
  <si>
    <t xml:space="preserve">Do this early. Covers cancellation, supplier failure, liability.</t>
  </si>
  <si>
    <t xml:space="preserve">  PHASE 2  ·  PLANNING</t>
  </si>
  <si>
    <t xml:space="preserve">Shortlist &amp; visit venues (UK estate)</t>
  </si>
  <si>
    <t xml:space="preserve">Venue = biggest cost + biggest constraint. Get 3+ quotes.</t>
  </si>
  <si>
    <t xml:space="preserve">Book venue + pay deposit</t>
  </si>
  <si>
    <t xml:space="preserve">Target: exclusive-use estate with on-site accommodation.</t>
  </si>
  <si>
    <t xml:space="preserve">Confirm guest accommodation at venue</t>
  </si>
  <si>
    <t xml:space="preserve">Block-book rooms. ~30 rooms × £80-120/night.</t>
  </si>
  <si>
    <t xml:space="preserve">Book registrar / marriage celebrant</t>
  </si>
  <si>
    <t xml:space="preserve">Fixed statutory fee. Book as soon as venue is confirmed.</t>
  </si>
  <si>
    <t xml:space="preserve">Book photographer</t>
  </si>
  <si>
    <t xml:space="preserve">Books up 12–18 months out. Priority booking.</t>
  </si>
  <si>
    <t xml:space="preserve">Book videographer</t>
  </si>
  <si>
    <t xml:space="preserve">Optional but recommended. Highlight reel + full film.</t>
  </si>
  <si>
    <t xml:space="preserve">Book caterer &amp; confirm F&amp;B package</t>
  </si>
  <si>
    <t xml:space="preserve">~£100/head for 45 guests. Confirm service charge inclusion.</t>
  </si>
  <si>
    <t xml:space="preserve">Book DJ or band</t>
  </si>
  <si>
    <t xml:space="preserve">DJ ~40-50% cheaper than live band. Decide early.</t>
  </si>
  <si>
    <t xml:space="preserve">Send save-the-dates</t>
  </si>
  <si>
    <t xml:space="preserve">Digital is free. Printed ~£1-2 each.</t>
  </si>
  <si>
    <t xml:space="preserve">  PHASE 3  ·  IMPLEMENTATION</t>
  </si>
  <si>
    <t xml:space="preserve">Order wedding dress</t>
  </si>
  <si>
    <t xml:space="preserve">Allow 4–6 months for delivery + alterations.</t>
  </si>
  <si>
    <t xml:space="preserve">Dress alterations</t>
  </si>
  <si>
    <t xml:space="preserve">Not included in dress price. Budget separately.</t>
  </si>
  <si>
    <t xml:space="preserve">Groom &amp; groomsmen attire</t>
  </si>
  <si>
    <t xml:space="preserve">Suit hire ~£100-150/person. Buying from ~£200.</t>
  </si>
  <si>
    <t xml:space="preserve">Book hair &amp; makeup artist (incl. trials)</t>
  </si>
  <si>
    <t xml:space="preserve">Trial run ~£50-80 extra per person. Book early.</t>
  </si>
  <si>
    <t xml:space="preserve">Order wedding rings</t>
  </si>
  <si>
    <t xml:space="preserve">Allow 6–8 weeks for custom. Don't leave this late.</t>
  </si>
  <si>
    <t xml:space="preserve">Book florist</t>
  </si>
  <si>
    <t xml:space="preserve">Seasonal flowers = 20–40% cheaper. Reuse ceremony flowers.</t>
  </si>
  <si>
    <t xml:space="preserve">Venue décor &amp; styling</t>
  </si>
  <si>
    <t xml:space="preserve">Lighting, linen, centrepieces. Check what estate includes.</t>
  </si>
  <si>
    <t xml:space="preserve">Order wedding cake</t>
  </si>
  <si>
    <t xml:space="preserve">3-tier. Order 3 months out. DIY saves significantly.</t>
  </si>
  <si>
    <t xml:space="preserve">Send invitations &amp; stationery</t>
  </si>
  <si>
    <t xml:space="preserve">Invites + order of service + place cards + menus.</t>
  </si>
  <si>
    <t xml:space="preserve">Book guest transport (coaches/shuttles)</t>
  </si>
  <si>
    <t xml:space="preserve">Airport or station pickups for destination guests.</t>
  </si>
  <si>
    <t xml:space="preserve">Plan welcome dinner (night before)</t>
  </si>
  <si>
    <t xml:space="preserve">Destination staple. Informal dinner with arriving guests.</t>
  </si>
  <si>
    <t xml:space="preserve">Wedding favours</t>
  </si>
  <si>
    <t xml:space="preserve">~£2/guest. Edible favours most popular.</t>
  </si>
  <si>
    <t xml:space="preserve">Bridal transport</t>
  </si>
  <si>
    <t xml:space="preserve">Vintage car hire ~£200-600. Or borrow a friend's.</t>
  </si>
  <si>
    <t xml:space="preserve">Confirm final seating plan</t>
  </si>
  <si>
    <t xml:space="preserve">Do this 2-3 weeks before. Expect last-minute changes.</t>
  </si>
  <si>
    <t xml:space="preserve">Confirm all supplier schedules</t>
  </si>
  <si>
    <t xml:space="preserve">Circulate a master timeline to every supplier.</t>
  </si>
  <si>
    <t xml:space="preserve">  PHASE 4  ·  THE EVENT</t>
  </si>
  <si>
    <t xml:space="preserve">Wedding rehearsal (day before)</t>
  </si>
  <si>
    <t xml:space="preserve">Walk through ceremony. Confirm order of proceedings.</t>
  </si>
  <si>
    <t xml:space="preserve">Welcome dinner (evening before)</t>
  </si>
  <si>
    <t xml:space="preserve">Budgeted above in Phase 3.</t>
  </si>
  <si>
    <t xml:space="preserve">The wedding day</t>
  </si>
  <si>
    <t xml:space="preserve">You've planned it. Trust your suppliers. Enjoy it.</t>
  </si>
  <si>
    <t xml:space="preserve">Day-after brunch</t>
  </si>
  <si>
    <t xml:space="preserve">Relaxed send-off with guests. Common for destination weddings.</t>
  </si>
  <si>
    <t xml:space="preserve">  PHASE 5  ·  CLOSURE</t>
  </si>
  <si>
    <t xml:space="preserve">Settle all outstanding supplier invoices</t>
  </si>
  <si>
    <t xml:space="preserve">Final payments due within 7–14 days after the wedding.</t>
  </si>
  <si>
    <t xml:space="preserve">Return any hired items</t>
  </si>
  <si>
    <t xml:space="preserve">Suits, décor props, equipment. Check hire contract dates.</t>
  </si>
  <si>
    <t xml:space="preserve">Send thank-you cards</t>
  </si>
  <si>
    <t xml:space="preserve">Handwritten &gt; printed. Do within 2 weeks.</t>
  </si>
  <si>
    <t xml:space="preserve">Register marriage certificate</t>
  </si>
  <si>
    <t xml:space="preserve">Registrar handles this. Confirm timelines.</t>
  </si>
  <si>
    <t xml:space="preserve">Review &amp; collect photos/video</t>
  </si>
  <si>
    <t xml:space="preserve">Photographers typically deliver in 6–12 weeks.</t>
  </si>
  <si>
    <t xml:space="preserve">Post-event debrief — what worked, what didn't</t>
  </si>
  <si>
    <t xml:space="preserve">Note learnings. You'll thank yourself later.</t>
  </si>
  <si>
    <t xml:space="preserve">  CONTINGENCY</t>
  </si>
  <si>
    <t xml:space="preserve">Contingency reserve  (10% of budget)</t>
  </si>
  <si>
    <t xml:space="preserve">Do not spend unless needed. Industry standard 10–15%.</t>
  </si>
  <si>
    <t xml:space="preserve">TOTAL ESTIMATED</t>
  </si>
  <si>
    <t xml:space="preserve">REMAINING (vs budget)</t>
  </si>
  <si>
    <t xml:space="preserve">Update estimates above as you get real quotes</t>
  </si>
  <si>
    <t xml:space="preserve">Blue cells = edit freely  ·  Done? column: type Y when confirmed  ·  Framework: EMBOK  ·  Benchmarks: Bridebook UK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</si>
</sst>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£#,##0;&quot;(£&quot;#,##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7FA7C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17375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1"/>
      <color rgb="FFBF8F00"/>
      <name val="Calibri"/>
      <family val="0"/>
      <charset val="1"/>
    </font>
    <font>
      <i val="true"/>
      <sz val="9"/>
      <color rgb="FF9DC3E6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8"/>
      <color rgb="FF17375F"/>
      <name val="Calibri"/>
      <family val="0"/>
      <charset val="1"/>
    </font>
    <font>
      <i val="true"/>
      <sz val="9"/>
      <color rgb="FF1737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17375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3"/>
      <color rgb="FFFFF2CC"/>
      <name val="Calibri"/>
      <family val="0"/>
      <charset val="1"/>
    </font>
    <font>
      <b val="true"/>
      <sz val="11"/>
      <color rgb="FFFFF2CC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b val="true"/>
      <sz val="13"/>
      <color rgb="FF375623"/>
      <name val="Calibri"/>
      <family val="0"/>
      <charset val="1"/>
    </font>
    <font>
      <i val="true"/>
      <sz val="9"/>
      <color rgb="FF375623"/>
      <name val="Calibri"/>
      <family val="0"/>
      <charset val="1"/>
    </font>
    <font>
      <i val="true"/>
      <sz val="8"/>
      <color rgb="FFAAAAAA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F3864"/>
        <bgColor rgb="FF17375F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17375F"/>
        <bgColor rgb="FF1F3864"/>
      </patternFill>
    </fill>
    <fill>
      <patternFill patternType="solid">
        <fgColor rgb="FF2E75B6"/>
        <bgColor rgb="FF4472C4"/>
      </patternFill>
    </fill>
    <fill>
      <patternFill patternType="solid">
        <fgColor rgb="FF5B9BD5"/>
        <bgColor rgb="FF7FA7C9"/>
      </patternFill>
    </fill>
    <fill>
      <patternFill patternType="solid">
        <fgColor rgb="FFBDD7EE"/>
        <bgColor rgb="FFDEEAF1"/>
      </patternFill>
    </fill>
    <fill>
      <patternFill patternType="solid">
        <fgColor rgb="FFFFFFFF"/>
        <bgColor rgb="FFF7F9FC"/>
      </patternFill>
    </fill>
    <fill>
      <patternFill patternType="solid">
        <fgColor rgb="FFEBF3FB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2EFDA"/>
        <bgColor rgb="FFDEEAF1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BF8F00"/>
      </left>
      <right/>
      <top style="thin">
        <color rgb="FFBF8F00"/>
      </top>
      <bottom style="thin">
        <color rgb="FFBF8F00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  <border diagonalUp="false" diagonalDown="false">
      <left style="thin">
        <color rgb="FF17375F"/>
      </left>
      <right style="thin">
        <color rgb="FF17375F"/>
      </right>
      <top style="thin">
        <color rgb="FF17375F"/>
      </top>
      <bottom style="thin">
        <color rgb="FF17375F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1F3864"/>
      </left>
      <right/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1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BF8F00"/>
        <sz val="12"/>
      </font>
      <fill>
        <patternFill>
          <bgColor rgb="FFFFF2CC"/>
        </patternFill>
      </fill>
    </dxf>
    <dxf>
      <font>
        <b val="1"/>
        <color rgb="FFFFFFFF"/>
        <sz val="9"/>
      </font>
      <fill>
        <patternFill>
          <bgColor rgb="FF0D1B2A"/>
        </patternFill>
      </fill>
      <border diagonalUp="false" diagonalDown="false">
        <left style="thin">
          <color rgb="FFBF8F00"/>
        </left>
        <right style="thin">
          <color rgb="FFBF8F00"/>
        </right>
        <top style="thin">
          <color rgb="FFBF8F00"/>
        </top>
        <bottom style="thin">
          <color rgb="FFBF8F00"/>
        </bottom>
        <diagonal/>
      </border>
    </dxf>
    <dxf>
      <font>
        <b val="1"/>
        <color rgb="FFFFFFFF"/>
        <sz val="9"/>
      </font>
      <fill>
        <patternFill>
          <bgColor rgb="FF17375F"/>
        </patternFill>
      </fill>
      <border diagonalUp="false" diagonalDown="false">
        <left style="thin">
          <color rgb="FFBF8F00"/>
        </left>
        <right style="thin">
          <color rgb="FFBF8F00"/>
        </right>
        <top style="thin">
          <color rgb="FFBF8F00"/>
        </top>
        <bottom style="thin">
          <color rgb="FFBF8F00"/>
        </bottom>
        <diagonal/>
      </border>
    </dxf>
    <dxf>
      <font>
        <b val="1"/>
        <color rgb="FFFFFFFF"/>
        <sz val="9"/>
      </font>
      <fill>
        <patternFill>
          <bgColor rgb="FF2E75B6"/>
        </patternFill>
      </fill>
      <border diagonalUp="false" diagonalDown="false">
        <left style="thin">
          <color rgb="FFBF8F00"/>
        </left>
        <right style="thin">
          <color rgb="FFBF8F00"/>
        </right>
        <top style="thin">
          <color rgb="FFBF8F00"/>
        </top>
        <bottom style="thin">
          <color rgb="FFBF8F00"/>
        </bottom>
        <diagonal/>
      </border>
    </dxf>
    <dxf>
      <font>
        <b val="1"/>
        <color rgb="FFFFFFFF"/>
        <sz val="9"/>
      </font>
      <fill>
        <patternFill>
          <bgColor rgb="FF5B9BD5"/>
        </patternFill>
      </fill>
      <border diagonalUp="false" diagonalDown="false">
        <left style="thin">
          <color rgb="FFBF8F00"/>
        </left>
        <right style="thin">
          <color rgb="FFBF8F00"/>
        </right>
        <top style="thin">
          <color rgb="FFBF8F00"/>
        </top>
        <bottom style="thin">
          <color rgb="FFBF8F00"/>
        </bottom>
        <diagonal/>
      </border>
    </dxf>
    <dxf>
      <font>
        <b val="1"/>
        <color rgb="FFFFFFFF"/>
        <sz val="9"/>
      </font>
      <fill>
        <patternFill>
          <bgColor rgb="FFBDD7EE"/>
        </patternFill>
      </fill>
      <border diagonalUp="false" diagonalDown="false">
        <left style="thin">
          <color rgb="FFBF8F00"/>
        </left>
        <right style="thin">
          <color rgb="FFBF8F00"/>
        </right>
        <top style="thin">
          <color rgb="FFBF8F00"/>
        </top>
        <bottom style="thin">
          <color rgb="FFBF8F00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7FA7C9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7F9FC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595959"/>
      <rgbColor rgb="FFAAAAAA"/>
      <rgbColor rgb="FF17375F"/>
      <rgbColor rgb="FF339966"/>
      <rgbColor rgb="FF0D1B2A"/>
      <rgbColor rgb="FF375623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8"/>
  </cols>
  <sheetData>
    <row r="1" customFormat="false" ht="6" hidden="false" customHeight="true" outlineLevel="0" collapsed="false"/>
    <row r="2" customFormat="false" ht="37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3.5" hidden="false" customHeight="true" outlineLevel="0" collapsed="false">
      <c r="B3" s="2" t="s">
        <v>1</v>
      </c>
      <c r="C3" s="2"/>
      <c r="D3" s="2"/>
      <c r="E3" s="2"/>
      <c r="F3" s="2"/>
    </row>
    <row r="4" customFormat="false" ht="7.5" hidden="false" customHeight="true" outlineLevel="0" collapsed="false"/>
    <row r="5" customFormat="false" ht="30" hidden="false" customHeight="true" outlineLevel="0" collapsed="false">
      <c r="B5" s="3" t="s">
        <v>2</v>
      </c>
      <c r="C5" s="4" t="n">
        <v>46600</v>
      </c>
      <c r="D5" s="5" t="s">
        <v>3</v>
      </c>
      <c r="E5" s="6" t="str">
        <f aca="true">IF(ISBLANK(C5),"← enter your wedding date",IF(TODAY()&gt;C5+7,"📦  Phase 5 · CLOSURE",IF(TODAY()&gt;=EDATE(C5,-2),"🎉  Phase 4 · THE EVENT",IF(TODAY()&gt;=EDATE(C5,-8),"⚙️  Phase 3 · IMPLEMENTATION",IF(TODAY()&gt;=EDATE(C5,-12),"📋  Phase 2 · PLANNING","🔍  Phase 1 · INITIATION")))))</f>
        <v>🔍  Phase 1 · INITIATION</v>
      </c>
      <c r="F5" s="6"/>
    </row>
    <row r="6" customFormat="false" ht="30" hidden="false" customHeight="true" outlineLevel="0" collapsed="false">
      <c r="B6" s="3" t="s">
        <v>4</v>
      </c>
      <c r="C6" s="7" t="n">
        <v>20000</v>
      </c>
      <c r="D6" s="3" t="s">
        <v>5</v>
      </c>
      <c r="E6" s="8" t="n">
        <v>45</v>
      </c>
      <c r="F6" s="9" t="s">
        <v>6</v>
      </c>
    </row>
    <row r="7" customFormat="false" ht="7.5" hidden="false" customHeight="true" outlineLevel="0" collapsed="false"/>
    <row r="8" customFormat="false" ht="27.75" hidden="false" customHeight="true" outlineLevel="0" collapsed="false">
      <c r="B8" s="10" t="s">
        <v>7</v>
      </c>
      <c r="C8" s="11" t="s">
        <v>8</v>
      </c>
      <c r="D8" s="12" t="s">
        <v>9</v>
      </c>
      <c r="E8" s="13" t="s">
        <v>10</v>
      </c>
      <c r="F8" s="14" t="s">
        <v>11</v>
      </c>
    </row>
    <row r="9" customFormat="false" ht="21.75" hidden="false" customHeight="true" outlineLevel="0" collapsed="false">
      <c r="B9" s="15" t="str">
        <f aca="false">IF(NOT(ISBLANK(C5)),"Now → "&amp;TEXT(EDATE(C5,-12),"mmm yy"),"")</f>
        <v>Now → Aug 26</v>
      </c>
      <c r="C9" s="16" t="str">
        <f aca="false">IF(NOT(ISBLANK(C5)),TEXT(EDATE(C5,-12),"mmm yy")&amp;" → "&amp;TEXT(EDATE(C5,-8),"mmm yy"),"")</f>
        <v>Aug 26 → Dec 26</v>
      </c>
      <c r="D9" s="17" t="str">
        <f aca="false">IF(NOT(ISBLANK(C5)),TEXT(EDATE(C5,-8),"mmm yy")&amp;" → "&amp;TEXT(EDATE(C5,-2),"mmm yy"),"")</f>
        <v>Dec 26 → Jun 27</v>
      </c>
      <c r="E9" s="18" t="str">
        <f aca="false">IF(NOT(ISBLANK(C5)),TEXT(EDATE(C5,-2),"mmm yy")&amp;" → "&amp;TEXT(C5,"mmm yy"),"")</f>
        <v>Jun 27 → Aug 27</v>
      </c>
      <c r="F9" s="19" t="str">
        <f aca="false">IF(NOT(ISBLANK(C5)),"After "&amp;TEXT(C5,"mmm yy"),"")</f>
        <v>After Aug 27</v>
      </c>
    </row>
    <row r="10" customFormat="false" ht="12" hidden="false" customHeight="true" outlineLevel="0" collapsed="false">
      <c r="B10" s="20" t="s">
        <v>12</v>
      </c>
      <c r="C10" s="20" t="s">
        <v>12</v>
      </c>
      <c r="D10" s="20" t="s">
        <v>12</v>
      </c>
      <c r="E10" s="20" t="s">
        <v>12</v>
      </c>
      <c r="F10" s="20" t="s">
        <v>12</v>
      </c>
    </row>
    <row r="11" customFormat="false" ht="7.5" hidden="false" customHeight="true" outlineLevel="0" collapsed="false"/>
    <row r="12" customFormat="false" ht="27.75" hidden="false" customHeight="true" outlineLevel="0" collapsed="false">
      <c r="B12" s="21" t="s">
        <v>13</v>
      </c>
      <c r="C12" s="21" t="s">
        <v>14</v>
      </c>
      <c r="D12" s="21" t="s">
        <v>15</v>
      </c>
      <c r="E12" s="21" t="s">
        <v>16</v>
      </c>
      <c r="F12" s="21" t="s">
        <v>17</v>
      </c>
    </row>
    <row r="13" customFormat="false" ht="6" hidden="false" customHeight="true" outlineLevel="0" collapsed="false"/>
    <row r="14" customFormat="false" ht="24" hidden="false" customHeight="true" outlineLevel="0" collapsed="false">
      <c r="A14" s="22"/>
      <c r="B14" s="23" t="s">
        <v>18</v>
      </c>
      <c r="C14" s="23"/>
      <c r="D14" s="23"/>
      <c r="E14" s="23"/>
      <c r="F14" s="23"/>
    </row>
    <row r="15" customFormat="false" ht="19.5" hidden="false" customHeight="true" outlineLevel="0" collapsed="false">
      <c r="B15" s="24"/>
      <c r="C15" s="25" t="s">
        <v>19</v>
      </c>
      <c r="D15" s="26"/>
      <c r="E15" s="8"/>
      <c r="F15" s="27" t="s">
        <v>20</v>
      </c>
    </row>
    <row r="16" customFormat="false" ht="19.5" hidden="false" customHeight="true" outlineLevel="0" collapsed="false">
      <c r="B16" s="28"/>
      <c r="C16" s="29" t="s">
        <v>21</v>
      </c>
      <c r="D16" s="26"/>
      <c r="E16" s="8"/>
      <c r="F16" s="30" t="s">
        <v>22</v>
      </c>
    </row>
    <row r="17" customFormat="false" ht="19.5" hidden="false" customHeight="true" outlineLevel="0" collapsed="false">
      <c r="B17" s="24"/>
      <c r="C17" s="25" t="s">
        <v>23</v>
      </c>
      <c r="D17" s="26"/>
      <c r="E17" s="8"/>
      <c r="F17" s="27" t="s">
        <v>24</v>
      </c>
    </row>
    <row r="18" customFormat="false" ht="19.5" hidden="false" customHeight="true" outlineLevel="0" collapsed="false">
      <c r="B18" s="28"/>
      <c r="C18" s="29" t="s">
        <v>25</v>
      </c>
      <c r="D18" s="26"/>
      <c r="E18" s="8"/>
      <c r="F18" s="30" t="s">
        <v>26</v>
      </c>
    </row>
    <row r="19" customFormat="false" ht="19.5" hidden="false" customHeight="true" outlineLevel="0" collapsed="false">
      <c r="B19" s="24"/>
      <c r="C19" s="25" t="s">
        <v>27</v>
      </c>
      <c r="D19" s="31" t="n">
        <v>100</v>
      </c>
      <c r="E19" s="8"/>
      <c r="F19" s="27" t="s">
        <v>28</v>
      </c>
    </row>
    <row r="20" customFormat="false" ht="24" hidden="false" customHeight="true" outlineLevel="0" collapsed="false">
      <c r="A20" s="22"/>
      <c r="B20" s="23" t="s">
        <v>29</v>
      </c>
      <c r="C20" s="23"/>
      <c r="D20" s="23"/>
      <c r="E20" s="23"/>
      <c r="F20" s="23"/>
    </row>
    <row r="21" customFormat="false" ht="19.5" hidden="false" customHeight="true" outlineLevel="0" collapsed="false">
      <c r="B21" s="28"/>
      <c r="C21" s="29" t="s">
        <v>30</v>
      </c>
      <c r="D21" s="26"/>
      <c r="E21" s="8"/>
      <c r="F21" s="30" t="s">
        <v>31</v>
      </c>
    </row>
    <row r="22" customFormat="false" ht="19.5" hidden="false" customHeight="true" outlineLevel="0" collapsed="false">
      <c r="B22" s="24"/>
      <c r="C22" s="25" t="s">
        <v>32</v>
      </c>
      <c r="D22" s="31" t="n">
        <v>5000</v>
      </c>
      <c r="E22" s="8"/>
      <c r="F22" s="27" t="s">
        <v>33</v>
      </c>
    </row>
    <row r="23" customFormat="false" ht="19.5" hidden="false" customHeight="true" outlineLevel="0" collapsed="false">
      <c r="B23" s="28"/>
      <c r="C23" s="29" t="s">
        <v>34</v>
      </c>
      <c r="D23" s="31" t="n">
        <v>2500</v>
      </c>
      <c r="E23" s="8"/>
      <c r="F23" s="30" t="s">
        <v>35</v>
      </c>
    </row>
    <row r="24" customFormat="false" ht="19.5" hidden="false" customHeight="true" outlineLevel="0" collapsed="false">
      <c r="B24" s="24"/>
      <c r="C24" s="25" t="s">
        <v>36</v>
      </c>
      <c r="D24" s="31" t="n">
        <v>300</v>
      </c>
      <c r="E24" s="8"/>
      <c r="F24" s="27" t="s">
        <v>37</v>
      </c>
    </row>
    <row r="25" customFormat="false" ht="19.5" hidden="false" customHeight="true" outlineLevel="0" collapsed="false">
      <c r="B25" s="28"/>
      <c r="C25" s="29" t="s">
        <v>38</v>
      </c>
      <c r="D25" s="31" t="n">
        <v>1400</v>
      </c>
      <c r="E25" s="8"/>
      <c r="F25" s="30" t="s">
        <v>39</v>
      </c>
    </row>
    <row r="26" customFormat="false" ht="19.5" hidden="false" customHeight="true" outlineLevel="0" collapsed="false">
      <c r="B26" s="24"/>
      <c r="C26" s="25" t="s">
        <v>40</v>
      </c>
      <c r="D26" s="31" t="n">
        <v>1000</v>
      </c>
      <c r="E26" s="8"/>
      <c r="F26" s="27" t="s">
        <v>41</v>
      </c>
    </row>
    <row r="27" customFormat="false" ht="19.5" hidden="false" customHeight="true" outlineLevel="0" collapsed="false">
      <c r="B27" s="28"/>
      <c r="C27" s="29" t="s">
        <v>42</v>
      </c>
      <c r="D27" s="31" t="n">
        <v>4500</v>
      </c>
      <c r="E27" s="8"/>
      <c r="F27" s="30" t="s">
        <v>43</v>
      </c>
    </row>
    <row r="28" customFormat="false" ht="19.5" hidden="false" customHeight="true" outlineLevel="0" collapsed="false">
      <c r="B28" s="24"/>
      <c r="C28" s="25" t="s">
        <v>44</v>
      </c>
      <c r="D28" s="31" t="n">
        <v>800</v>
      </c>
      <c r="E28" s="8"/>
      <c r="F28" s="27" t="s">
        <v>45</v>
      </c>
    </row>
    <row r="29" customFormat="false" ht="19.5" hidden="false" customHeight="true" outlineLevel="0" collapsed="false">
      <c r="B29" s="28"/>
      <c r="C29" s="29" t="s">
        <v>46</v>
      </c>
      <c r="D29" s="31" t="n">
        <v>50</v>
      </c>
      <c r="E29" s="8"/>
      <c r="F29" s="30" t="s">
        <v>47</v>
      </c>
    </row>
    <row r="30" customFormat="false" ht="24" hidden="false" customHeight="true" outlineLevel="0" collapsed="false">
      <c r="A30" s="22"/>
      <c r="B30" s="23" t="s">
        <v>48</v>
      </c>
      <c r="C30" s="23"/>
      <c r="D30" s="23"/>
      <c r="E30" s="23"/>
      <c r="F30" s="23"/>
    </row>
    <row r="31" customFormat="false" ht="19.5" hidden="false" customHeight="true" outlineLevel="0" collapsed="false">
      <c r="B31" s="24"/>
      <c r="C31" s="25" t="s">
        <v>49</v>
      </c>
      <c r="D31" s="31" t="n">
        <v>1200</v>
      </c>
      <c r="E31" s="8"/>
      <c r="F31" s="27" t="s">
        <v>50</v>
      </c>
    </row>
    <row r="32" customFormat="false" ht="19.5" hidden="false" customHeight="true" outlineLevel="0" collapsed="false">
      <c r="B32" s="28"/>
      <c r="C32" s="29" t="s">
        <v>51</v>
      </c>
      <c r="D32" s="31" t="n">
        <v>150</v>
      </c>
      <c r="E32" s="8"/>
      <c r="F32" s="30" t="s">
        <v>52</v>
      </c>
    </row>
    <row r="33" customFormat="false" ht="19.5" hidden="false" customHeight="true" outlineLevel="0" collapsed="false">
      <c r="B33" s="24"/>
      <c r="C33" s="25" t="s">
        <v>53</v>
      </c>
      <c r="D33" s="31" t="n">
        <v>500</v>
      </c>
      <c r="E33" s="8"/>
      <c r="F33" s="27" t="s">
        <v>54</v>
      </c>
    </row>
    <row r="34" customFormat="false" ht="19.5" hidden="false" customHeight="true" outlineLevel="0" collapsed="false">
      <c r="B34" s="28"/>
      <c r="C34" s="29" t="s">
        <v>55</v>
      </c>
      <c r="D34" s="31" t="n">
        <v>700</v>
      </c>
      <c r="E34" s="8"/>
      <c r="F34" s="30" t="s">
        <v>56</v>
      </c>
    </row>
    <row r="35" customFormat="false" ht="19.5" hidden="false" customHeight="true" outlineLevel="0" collapsed="false">
      <c r="B35" s="24"/>
      <c r="C35" s="25" t="s">
        <v>57</v>
      </c>
      <c r="D35" s="31" t="n">
        <v>800</v>
      </c>
      <c r="E35" s="8"/>
      <c r="F35" s="27" t="s">
        <v>58</v>
      </c>
    </row>
    <row r="36" customFormat="false" ht="19.5" hidden="false" customHeight="true" outlineLevel="0" collapsed="false">
      <c r="B36" s="28"/>
      <c r="C36" s="29" t="s">
        <v>59</v>
      </c>
      <c r="D36" s="31" t="n">
        <v>800</v>
      </c>
      <c r="E36" s="8"/>
      <c r="F36" s="30" t="s">
        <v>60</v>
      </c>
    </row>
    <row r="37" customFormat="false" ht="19.5" hidden="false" customHeight="true" outlineLevel="0" collapsed="false">
      <c r="B37" s="24"/>
      <c r="C37" s="25" t="s">
        <v>61</v>
      </c>
      <c r="D37" s="31" t="n">
        <v>500</v>
      </c>
      <c r="E37" s="8"/>
      <c r="F37" s="27" t="s">
        <v>62</v>
      </c>
    </row>
    <row r="38" customFormat="false" ht="19.5" hidden="false" customHeight="true" outlineLevel="0" collapsed="false">
      <c r="B38" s="28"/>
      <c r="C38" s="29" t="s">
        <v>63</v>
      </c>
      <c r="D38" s="31" t="n">
        <v>300</v>
      </c>
      <c r="E38" s="8"/>
      <c r="F38" s="30" t="s">
        <v>64</v>
      </c>
    </row>
    <row r="39" customFormat="false" ht="19.5" hidden="false" customHeight="true" outlineLevel="0" collapsed="false">
      <c r="B39" s="24"/>
      <c r="C39" s="25" t="s">
        <v>65</v>
      </c>
      <c r="D39" s="31" t="n">
        <v>200</v>
      </c>
      <c r="E39" s="8"/>
      <c r="F39" s="27" t="s">
        <v>66</v>
      </c>
    </row>
    <row r="40" customFormat="false" ht="19.5" hidden="false" customHeight="true" outlineLevel="0" collapsed="false">
      <c r="B40" s="28"/>
      <c r="C40" s="29" t="s">
        <v>67</v>
      </c>
      <c r="D40" s="31" t="n">
        <v>400</v>
      </c>
      <c r="E40" s="8"/>
      <c r="F40" s="30" t="s">
        <v>68</v>
      </c>
    </row>
    <row r="41" customFormat="false" ht="19.5" hidden="false" customHeight="true" outlineLevel="0" collapsed="false">
      <c r="B41" s="24"/>
      <c r="C41" s="25" t="s">
        <v>69</v>
      </c>
      <c r="D41" s="31" t="n">
        <v>600</v>
      </c>
      <c r="E41" s="8"/>
      <c r="F41" s="27" t="s">
        <v>70</v>
      </c>
    </row>
    <row r="42" customFormat="false" ht="19.5" hidden="false" customHeight="true" outlineLevel="0" collapsed="false">
      <c r="B42" s="28"/>
      <c r="C42" s="29" t="s">
        <v>71</v>
      </c>
      <c r="D42" s="31" t="n">
        <v>90</v>
      </c>
      <c r="E42" s="8"/>
      <c r="F42" s="30" t="s">
        <v>72</v>
      </c>
    </row>
    <row r="43" customFormat="false" ht="19.5" hidden="false" customHeight="true" outlineLevel="0" collapsed="false">
      <c r="B43" s="24"/>
      <c r="C43" s="25" t="s">
        <v>73</v>
      </c>
      <c r="D43" s="31" t="n">
        <v>400</v>
      </c>
      <c r="E43" s="8"/>
      <c r="F43" s="27" t="s">
        <v>74</v>
      </c>
    </row>
    <row r="44" customFormat="false" ht="19.5" hidden="false" customHeight="true" outlineLevel="0" collapsed="false">
      <c r="B44" s="28"/>
      <c r="C44" s="29" t="s">
        <v>75</v>
      </c>
      <c r="D44" s="26"/>
      <c r="E44" s="8"/>
      <c r="F44" s="30" t="s">
        <v>76</v>
      </c>
    </row>
    <row r="45" customFormat="false" ht="19.5" hidden="false" customHeight="true" outlineLevel="0" collapsed="false">
      <c r="B45" s="24"/>
      <c r="C45" s="25" t="s">
        <v>77</v>
      </c>
      <c r="D45" s="26"/>
      <c r="E45" s="8"/>
      <c r="F45" s="27" t="s">
        <v>78</v>
      </c>
    </row>
    <row r="46" customFormat="false" ht="24" hidden="false" customHeight="true" outlineLevel="0" collapsed="false">
      <c r="A46" s="22"/>
      <c r="B46" s="23" t="s">
        <v>79</v>
      </c>
      <c r="C46" s="23"/>
      <c r="D46" s="23"/>
      <c r="E46" s="23"/>
      <c r="F46" s="23"/>
    </row>
    <row r="47" customFormat="false" ht="19.5" hidden="false" customHeight="true" outlineLevel="0" collapsed="false">
      <c r="B47" s="28"/>
      <c r="C47" s="29" t="s">
        <v>80</v>
      </c>
      <c r="D47" s="26"/>
      <c r="E47" s="8"/>
      <c r="F47" s="30" t="s">
        <v>81</v>
      </c>
    </row>
    <row r="48" customFormat="false" ht="19.5" hidden="false" customHeight="true" outlineLevel="0" collapsed="false">
      <c r="B48" s="24"/>
      <c r="C48" s="25" t="s">
        <v>82</v>
      </c>
      <c r="D48" s="26"/>
      <c r="E48" s="8"/>
      <c r="F48" s="27" t="s">
        <v>83</v>
      </c>
    </row>
    <row r="49" customFormat="false" ht="19.5" hidden="false" customHeight="true" outlineLevel="0" collapsed="false">
      <c r="B49" s="28"/>
      <c r="C49" s="29" t="s">
        <v>84</v>
      </c>
      <c r="D49" s="26"/>
      <c r="E49" s="8"/>
      <c r="F49" s="30" t="s">
        <v>85</v>
      </c>
    </row>
    <row r="50" customFormat="false" ht="19.5" hidden="false" customHeight="true" outlineLevel="0" collapsed="false">
      <c r="B50" s="24"/>
      <c r="C50" s="25" t="s">
        <v>86</v>
      </c>
      <c r="D50" s="31" t="n">
        <v>300</v>
      </c>
      <c r="E50" s="8"/>
      <c r="F50" s="27" t="s">
        <v>87</v>
      </c>
    </row>
    <row r="51" customFormat="false" ht="24" hidden="false" customHeight="true" outlineLevel="0" collapsed="false">
      <c r="A51" s="22"/>
      <c r="B51" s="23" t="s">
        <v>88</v>
      </c>
      <c r="C51" s="23"/>
      <c r="D51" s="23"/>
      <c r="E51" s="23"/>
      <c r="F51" s="23"/>
    </row>
    <row r="52" customFormat="false" ht="19.5" hidden="false" customHeight="true" outlineLevel="0" collapsed="false">
      <c r="B52" s="28"/>
      <c r="C52" s="29" t="s">
        <v>89</v>
      </c>
      <c r="D52" s="26"/>
      <c r="E52" s="8"/>
      <c r="F52" s="30" t="s">
        <v>90</v>
      </c>
    </row>
    <row r="53" customFormat="false" ht="19.5" hidden="false" customHeight="true" outlineLevel="0" collapsed="false">
      <c r="B53" s="24"/>
      <c r="C53" s="25" t="s">
        <v>91</v>
      </c>
      <c r="D53" s="26"/>
      <c r="E53" s="8"/>
      <c r="F53" s="27" t="s">
        <v>92</v>
      </c>
    </row>
    <row r="54" customFormat="false" ht="19.5" hidden="false" customHeight="true" outlineLevel="0" collapsed="false">
      <c r="B54" s="28"/>
      <c r="C54" s="29" t="s">
        <v>93</v>
      </c>
      <c r="D54" s="31" t="n">
        <v>40</v>
      </c>
      <c r="E54" s="8"/>
      <c r="F54" s="30" t="s">
        <v>94</v>
      </c>
    </row>
    <row r="55" customFormat="false" ht="19.5" hidden="false" customHeight="true" outlineLevel="0" collapsed="false">
      <c r="B55" s="24"/>
      <c r="C55" s="25" t="s">
        <v>95</v>
      </c>
      <c r="D55" s="26"/>
      <c r="E55" s="8"/>
      <c r="F55" s="27" t="s">
        <v>96</v>
      </c>
    </row>
    <row r="56" customFormat="false" ht="19.5" hidden="false" customHeight="true" outlineLevel="0" collapsed="false">
      <c r="B56" s="28"/>
      <c r="C56" s="29" t="s">
        <v>97</v>
      </c>
      <c r="D56" s="26"/>
      <c r="E56" s="8"/>
      <c r="F56" s="30" t="s">
        <v>98</v>
      </c>
    </row>
    <row r="57" customFormat="false" ht="19.5" hidden="false" customHeight="true" outlineLevel="0" collapsed="false">
      <c r="B57" s="24"/>
      <c r="C57" s="25" t="s">
        <v>99</v>
      </c>
      <c r="D57" s="26"/>
      <c r="E57" s="8"/>
      <c r="F57" s="27" t="s">
        <v>100</v>
      </c>
    </row>
    <row r="58" customFormat="false" ht="24" hidden="false" customHeight="true" outlineLevel="0" collapsed="false">
      <c r="A58" s="22"/>
      <c r="B58" s="23" t="s">
        <v>101</v>
      </c>
      <c r="C58" s="23"/>
      <c r="D58" s="23"/>
      <c r="E58" s="23"/>
      <c r="F58" s="23"/>
    </row>
    <row r="59" customFormat="false" ht="19.5" hidden="false" customHeight="true" outlineLevel="0" collapsed="false">
      <c r="B59" s="28"/>
      <c r="C59" s="29" t="s">
        <v>102</v>
      </c>
      <c r="D59" s="31" t="n">
        <v>2000</v>
      </c>
      <c r="E59" s="8"/>
      <c r="F59" s="30" t="s">
        <v>103</v>
      </c>
    </row>
    <row r="60" customFormat="false" ht="7.5" hidden="false" customHeight="true" outlineLevel="0" collapsed="false"/>
    <row r="61" customFormat="false" ht="25.5" hidden="false" customHeight="true" outlineLevel="0" collapsed="false">
      <c r="B61" s="32"/>
      <c r="C61" s="33" t="s">
        <v>104</v>
      </c>
      <c r="D61" s="34" t="n">
        <f aca="false">SUM(D15:D59)</f>
        <v>24630</v>
      </c>
      <c r="E61" s="35"/>
      <c r="F61" s="36" t="str">
        <f aca="false">COUNTIF(E15:E59,"Y")&amp;"/40 done"</f>
        <v>0/40 done</v>
      </c>
    </row>
    <row r="62" customFormat="false" ht="21.75" hidden="false" customHeight="true" outlineLevel="0" collapsed="false">
      <c r="B62" s="37"/>
      <c r="C62" s="38" t="s">
        <v>105</v>
      </c>
      <c r="D62" s="39" t="n">
        <f aca="false">C6-D61</f>
        <v>-4630</v>
      </c>
      <c r="E62" s="37"/>
      <c r="F62" s="40" t="s">
        <v>106</v>
      </c>
    </row>
    <row r="64" customFormat="false" ht="15.75" hidden="false" customHeight="true" outlineLevel="0" collapsed="false">
      <c r="B64" s="41" t="s">
        <v>107</v>
      </c>
      <c r="C64" s="41"/>
      <c r="D64" s="41"/>
      <c r="E64" s="41"/>
      <c r="F64" s="41"/>
    </row>
  </sheetData>
  <mergeCells count="10">
    <mergeCell ref="B2:F2"/>
    <mergeCell ref="B3:F3"/>
    <mergeCell ref="E5:F5"/>
    <mergeCell ref="B14:F14"/>
    <mergeCell ref="B20:F20"/>
    <mergeCell ref="B30:F30"/>
    <mergeCell ref="B46:F46"/>
    <mergeCell ref="B51:F51"/>
    <mergeCell ref="B58:F58"/>
    <mergeCell ref="B64:F64"/>
  </mergeCells>
  <conditionalFormatting sqref="B10">
    <cfRule type="expression" priority="2" aboveAverage="0" equalAverage="0" bottom="0" percent="0" rank="0" text="" dxfId="0">
      <formula>AND(NOT(ISBLANK(C5)),TODAY()&lt;EDATE(C5,-12))</formula>
    </cfRule>
  </conditionalFormatting>
  <conditionalFormatting sqref="B8">
    <cfRule type="expression" priority="3" aboveAverage="0" equalAverage="0" bottom="0" percent="0" rank="0" text="" dxfId="1">
      <formula>AND(NOT(ISBLANK(C5)),TODAY()&lt;EDATE(C5,-12))</formula>
    </cfRule>
  </conditionalFormatting>
  <conditionalFormatting sqref="C10">
    <cfRule type="expression" priority="4" aboveAverage="0" equalAverage="0" bottom="0" percent="0" rank="0" text="" dxfId="0">
      <formula>AND(NOT(ISBLANK(C5)),TODAY()&gt;=EDATE(C5,-12),TODAY()&lt;EDATE(C5,-8))</formula>
    </cfRule>
  </conditionalFormatting>
  <conditionalFormatting sqref="C8">
    <cfRule type="expression" priority="5" aboveAverage="0" equalAverage="0" bottom="0" percent="0" rank="0" text="" dxfId="2">
      <formula>AND(NOT(ISBLANK(C5)),TODAY()&gt;=EDATE(C5,-12),TODAY()&lt;EDATE(C5,-8))</formula>
    </cfRule>
  </conditionalFormatting>
  <conditionalFormatting sqref="D10">
    <cfRule type="expression" priority="6" aboveAverage="0" equalAverage="0" bottom="0" percent="0" rank="0" text="" dxfId="0">
      <formula>AND(NOT(ISBLANK(C5)),TODAY()&gt;=EDATE(C5,-8),TODAY()&lt;EDATE(C5,-2))</formula>
    </cfRule>
  </conditionalFormatting>
  <conditionalFormatting sqref="D8">
    <cfRule type="expression" priority="7" aboveAverage="0" equalAverage="0" bottom="0" percent="0" rank="0" text="" dxfId="3">
      <formula>AND(NOT(ISBLANK(C5)),TODAY()&gt;=EDATE(C5,-8),TODAY()&lt;EDATE(C5,-2))</formula>
    </cfRule>
  </conditionalFormatting>
  <conditionalFormatting sqref="E10">
    <cfRule type="expression" priority="8" aboveAverage="0" equalAverage="0" bottom="0" percent="0" rank="0" text="" dxfId="0">
      <formula>AND(NOT(ISBLANK(C5)),TODAY()&gt;=EDATE(C5,-2),TODAY()&lt;=C5+7)</formula>
    </cfRule>
  </conditionalFormatting>
  <conditionalFormatting sqref="E8">
    <cfRule type="expression" priority="9" aboveAverage="0" equalAverage="0" bottom="0" percent="0" rank="0" text="" dxfId="4">
      <formula>AND(NOT(ISBLANK(C5)),TODAY()&gt;=EDATE(C5,-2),TODAY()&lt;=C5+7)</formula>
    </cfRule>
  </conditionalFormatting>
  <conditionalFormatting sqref="F10">
    <cfRule type="expression" priority="10" aboveAverage="0" equalAverage="0" bottom="0" percent="0" rank="0" text="" dxfId="0">
      <formula>AND(NOT(ISBLANK(C5)),TODAY()&gt;C5+7)</formula>
    </cfRule>
  </conditionalFormatting>
  <conditionalFormatting sqref="F8">
    <cfRule type="expression" priority="11" aboveAverage="0" equalAverage="0" bottom="0" percent="0" rank="0" text="" dxfId="5">
      <formula>AND(NOT(ISBLANK(C5)),TODAY()&gt;C5+7)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2026-02-25T11:51:50Z</dcterms:created>
  <dc:creator>openpyxl</dc:creator>
  <dc:description/>
  <dc:language>en-US</dc:language>
  <cp:lastModifiedBy/>
  <dcterms:modified xsi:type="dcterms:W3CDTF">2026-02-25T11:51:50Z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